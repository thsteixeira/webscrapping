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 Henrique\Documents\venv_webscrapping\webscrapping\excel\"/>
    </mc:Choice>
  </mc:AlternateContent>
  <bookViews>
    <workbookView xWindow="0" yWindow="0" windowWidth="38400" windowHeight="11610" xr2:uid="{00000000-000D-0000-FFFF-FFFF00000000}"/>
  </bookViews>
  <sheets>
    <sheet name="TODOS" sheetId="11" r:id="rId1"/>
    <sheet name="RPVs 1VF" sheetId="3" r:id="rId2"/>
    <sheet name="RPVs 2VF" sheetId="4" r:id="rId3"/>
    <sheet name="RPVs 3VF" sheetId="5" r:id="rId4"/>
    <sheet name="RPVs 4VF" sheetId="6" r:id="rId5"/>
    <sheet name="RPVs 5VF" sheetId="7" r:id="rId6"/>
    <sheet name="RPVs TJ" sheetId="8" r:id="rId7"/>
    <sheet name="CÍVEIS" sheetId="9" r:id="rId8"/>
    <sheet name="OUTROS" sheetId="10" r:id="rId9"/>
  </sheets>
  <definedNames>
    <definedName name="_xlnm._FilterDatabase" localSheetId="7" hidden="1">CÍVEIS!$A$2:$J$115</definedName>
    <definedName name="_xlnm._FilterDatabase" localSheetId="8" hidden="1">OUTROS!$A$2:$J$115</definedName>
    <definedName name="_xlnm._FilterDatabase" localSheetId="1" hidden="1">'RPVs 1VF'!$A$2:$I$115</definedName>
    <definedName name="_xlnm._FilterDatabase" localSheetId="2" hidden="1">'RPVs 2VF'!$A$2:$I$132</definedName>
    <definedName name="_xlnm._FilterDatabase" localSheetId="3" hidden="1">'RPVs 3VF'!$A$2:$I$915</definedName>
    <definedName name="_xlnm._FilterDatabase" localSheetId="4" hidden="1">'RPVs 4VF'!$A$2:$I$153</definedName>
    <definedName name="_xlnm._FilterDatabase" localSheetId="5" hidden="1">'RPVs 5VF'!$A$2:$I$137</definedName>
    <definedName name="_xlnm._FilterDatabase" localSheetId="6" hidden="1">'RPVs TJ'!$A$2:$G$161</definedName>
  </definedNames>
  <calcPr calcId="171027"/>
</workbook>
</file>

<file path=xl/calcChain.xml><?xml version="1.0" encoding="utf-8"?>
<calcChain xmlns="http://schemas.openxmlformats.org/spreadsheetml/2006/main">
  <c r="E116" i="10" l="1"/>
  <c r="H115" i="10"/>
  <c r="F115" i="10"/>
  <c r="H113" i="10"/>
  <c r="F113" i="10"/>
  <c r="H112" i="10"/>
  <c r="F112" i="10"/>
  <c r="H111" i="10"/>
  <c r="F111" i="10"/>
  <c r="H110" i="10"/>
  <c r="F110" i="10"/>
  <c r="H109" i="10"/>
  <c r="F109" i="10"/>
  <c r="H108" i="10"/>
  <c r="F108" i="10"/>
  <c r="H107" i="10"/>
  <c r="F107" i="10"/>
  <c r="H106" i="10"/>
  <c r="F106" i="10"/>
  <c r="H105" i="10"/>
  <c r="F105" i="10"/>
  <c r="H104" i="10"/>
  <c r="F104" i="10"/>
  <c r="H103" i="10"/>
  <c r="F103" i="10"/>
  <c r="H102" i="10"/>
  <c r="F102" i="10"/>
  <c r="H101" i="10"/>
  <c r="F101" i="10"/>
  <c r="H100" i="10"/>
  <c r="F100" i="10"/>
  <c r="H99" i="10"/>
  <c r="F99" i="10"/>
  <c r="H98" i="10"/>
  <c r="F98" i="10"/>
  <c r="H97" i="10"/>
  <c r="F97" i="10"/>
  <c r="H96" i="10"/>
  <c r="F96" i="10"/>
  <c r="H95" i="10"/>
  <c r="F95" i="10"/>
  <c r="H94" i="10"/>
  <c r="F94" i="10"/>
  <c r="H93" i="10"/>
  <c r="F93" i="10"/>
  <c r="H92" i="10"/>
  <c r="F92" i="10"/>
  <c r="H91" i="10"/>
  <c r="F91" i="10"/>
  <c r="H90" i="10"/>
  <c r="F90" i="10"/>
  <c r="H89" i="10"/>
  <c r="F89" i="10"/>
  <c r="H88" i="10"/>
  <c r="F88" i="10"/>
  <c r="H87" i="10"/>
  <c r="F87" i="10"/>
  <c r="H86" i="10"/>
  <c r="F86" i="10"/>
  <c r="H85" i="10"/>
  <c r="F85" i="10"/>
  <c r="H84" i="10"/>
  <c r="F84" i="10"/>
  <c r="H83" i="10"/>
  <c r="F83" i="10"/>
  <c r="H82" i="10"/>
  <c r="F82" i="10"/>
  <c r="H81" i="10"/>
  <c r="F81" i="10"/>
  <c r="H80" i="10"/>
  <c r="F80" i="10"/>
  <c r="H79" i="10"/>
  <c r="F79" i="10"/>
  <c r="H78" i="10"/>
  <c r="F78" i="10"/>
  <c r="H77" i="10"/>
  <c r="F77" i="10"/>
  <c r="H76" i="10"/>
  <c r="F76" i="10"/>
  <c r="H75" i="10"/>
  <c r="F75" i="10"/>
  <c r="H74" i="10"/>
  <c r="F74" i="10"/>
  <c r="H73" i="10"/>
  <c r="F73" i="10"/>
  <c r="H72" i="10"/>
  <c r="F72" i="10"/>
  <c r="H71" i="10"/>
  <c r="F71" i="10"/>
  <c r="H70" i="10"/>
  <c r="F70" i="10"/>
  <c r="H69" i="10"/>
  <c r="F69" i="10"/>
  <c r="H68" i="10"/>
  <c r="F68" i="10"/>
  <c r="H67" i="10"/>
  <c r="F67" i="10"/>
  <c r="H66" i="10"/>
  <c r="F66" i="10"/>
  <c r="H65" i="10"/>
  <c r="F65" i="10"/>
  <c r="H64" i="10"/>
  <c r="F64" i="10"/>
  <c r="H63" i="10"/>
  <c r="F63" i="10"/>
  <c r="H62" i="10"/>
  <c r="F62" i="10"/>
  <c r="H61" i="10"/>
  <c r="F61" i="10"/>
  <c r="H60" i="10"/>
  <c r="F60" i="10"/>
  <c r="H59" i="10"/>
  <c r="F59" i="10"/>
  <c r="H58" i="10"/>
  <c r="F58" i="10"/>
  <c r="H57" i="10"/>
  <c r="F57" i="10"/>
  <c r="H56" i="10"/>
  <c r="F56" i="10"/>
  <c r="H55" i="10"/>
  <c r="F55" i="10"/>
  <c r="H54" i="10"/>
  <c r="F54" i="10"/>
  <c r="H53" i="10"/>
  <c r="F53" i="10"/>
  <c r="H52" i="10"/>
  <c r="F52" i="10"/>
  <c r="H51" i="10"/>
  <c r="F51" i="10"/>
  <c r="H50" i="10"/>
  <c r="F50" i="10"/>
  <c r="H49" i="10"/>
  <c r="F49" i="10"/>
  <c r="H48" i="10"/>
  <c r="F48" i="10"/>
  <c r="H47" i="10"/>
  <c r="F47" i="10"/>
  <c r="H46" i="10"/>
  <c r="F46" i="10"/>
  <c r="H45" i="10"/>
  <c r="F45" i="10"/>
  <c r="H44" i="10"/>
  <c r="F44" i="10"/>
  <c r="H43" i="10"/>
  <c r="F43" i="10"/>
  <c r="H42" i="10"/>
  <c r="F42" i="10"/>
  <c r="H41" i="10"/>
  <c r="F41" i="10"/>
  <c r="H40" i="10"/>
  <c r="F40" i="10"/>
  <c r="H39" i="10"/>
  <c r="F39" i="10"/>
  <c r="H38" i="10"/>
  <c r="F38" i="10"/>
  <c r="H37" i="10"/>
  <c r="F37" i="10"/>
  <c r="H36" i="10"/>
  <c r="F36" i="10"/>
  <c r="H35" i="10"/>
  <c r="F35" i="10"/>
  <c r="H34" i="10"/>
  <c r="F34" i="10"/>
  <c r="H33" i="10"/>
  <c r="F33" i="10"/>
  <c r="H32" i="10"/>
  <c r="F32" i="10"/>
  <c r="H31" i="10"/>
  <c r="F31" i="10"/>
  <c r="H30" i="10"/>
  <c r="F30" i="10"/>
  <c r="H29" i="10"/>
  <c r="F29" i="10"/>
  <c r="H28" i="10"/>
  <c r="F28" i="10"/>
  <c r="H27" i="10"/>
  <c r="F27" i="10"/>
  <c r="H26" i="10"/>
  <c r="F26" i="10"/>
  <c r="H25" i="10"/>
  <c r="F25" i="10"/>
  <c r="H24" i="10"/>
  <c r="F24" i="10"/>
  <c r="H23" i="10"/>
  <c r="F23" i="10"/>
  <c r="H22" i="10"/>
  <c r="F22" i="10"/>
  <c r="H21" i="10"/>
  <c r="F21" i="10"/>
  <c r="H20" i="10"/>
  <c r="F20" i="10"/>
  <c r="H19" i="10"/>
  <c r="F19" i="10"/>
  <c r="H18" i="10"/>
  <c r="F18" i="10"/>
  <c r="H17" i="10"/>
  <c r="F17" i="10"/>
  <c r="H16" i="10"/>
  <c r="F16" i="10"/>
  <c r="H15" i="10"/>
  <c r="F15" i="10"/>
  <c r="H14" i="10"/>
  <c r="F14" i="10"/>
  <c r="H13" i="10"/>
  <c r="F13" i="10"/>
  <c r="H12" i="10"/>
  <c r="F12" i="10"/>
  <c r="H11" i="10"/>
  <c r="F11" i="10"/>
  <c r="H10" i="10"/>
  <c r="F10" i="10"/>
  <c r="H9" i="10"/>
  <c r="F9" i="10"/>
  <c r="H8" i="10"/>
  <c r="F8" i="10"/>
  <c r="H7" i="10"/>
  <c r="F7" i="10"/>
  <c r="H6" i="10"/>
  <c r="F6" i="10"/>
  <c r="H5" i="10"/>
  <c r="F5" i="10"/>
  <c r="H4" i="10"/>
  <c r="F4" i="10"/>
  <c r="H3" i="10"/>
  <c r="F3" i="10"/>
  <c r="E116" i="9"/>
  <c r="H115" i="9"/>
  <c r="F115" i="9"/>
  <c r="H113" i="9"/>
  <c r="F113" i="9"/>
  <c r="H112" i="9"/>
  <c r="F112" i="9"/>
  <c r="H111" i="9"/>
  <c r="F111" i="9"/>
  <c r="H110" i="9"/>
  <c r="F110" i="9"/>
  <c r="H109" i="9"/>
  <c r="F109" i="9"/>
  <c r="H108" i="9"/>
  <c r="F108" i="9"/>
  <c r="H107" i="9"/>
  <c r="F107" i="9"/>
  <c r="H106" i="9"/>
  <c r="F106" i="9"/>
  <c r="H105" i="9"/>
  <c r="F105" i="9"/>
  <c r="H104" i="9"/>
  <c r="F104" i="9"/>
  <c r="H103" i="9"/>
  <c r="F103" i="9"/>
  <c r="H102" i="9"/>
  <c r="F102" i="9"/>
  <c r="H101" i="9"/>
  <c r="F101" i="9"/>
  <c r="H100" i="9"/>
  <c r="F100" i="9"/>
  <c r="H99" i="9"/>
  <c r="F99" i="9"/>
  <c r="H98" i="9"/>
  <c r="F98" i="9"/>
  <c r="H97" i="9"/>
  <c r="F97" i="9"/>
  <c r="H96" i="9"/>
  <c r="F96" i="9"/>
  <c r="H95" i="9"/>
  <c r="F95" i="9"/>
  <c r="H94" i="9"/>
  <c r="F94" i="9"/>
  <c r="H93" i="9"/>
  <c r="F93" i="9"/>
  <c r="H92" i="9"/>
  <c r="F92" i="9"/>
  <c r="H91" i="9"/>
  <c r="F91" i="9"/>
  <c r="H90" i="9"/>
  <c r="F90" i="9"/>
  <c r="H89" i="9"/>
  <c r="F89" i="9"/>
  <c r="H88" i="9"/>
  <c r="F88" i="9"/>
  <c r="H87" i="9"/>
  <c r="F87" i="9"/>
  <c r="H86" i="9"/>
  <c r="F86" i="9"/>
  <c r="H85" i="9"/>
  <c r="F85" i="9"/>
  <c r="H84" i="9"/>
  <c r="F84" i="9"/>
  <c r="H83" i="9"/>
  <c r="F83" i="9"/>
  <c r="H82" i="9"/>
  <c r="F82" i="9"/>
  <c r="H81" i="9"/>
  <c r="F81" i="9"/>
  <c r="H80" i="9"/>
  <c r="F80" i="9"/>
  <c r="H79" i="9"/>
  <c r="F79" i="9"/>
  <c r="H78" i="9"/>
  <c r="F78" i="9"/>
  <c r="H77" i="9"/>
  <c r="F77" i="9"/>
  <c r="H76" i="9"/>
  <c r="F76" i="9"/>
  <c r="H75" i="9"/>
  <c r="F75" i="9"/>
  <c r="H74" i="9"/>
  <c r="F74" i="9"/>
  <c r="H73" i="9"/>
  <c r="F73" i="9"/>
  <c r="H72" i="9"/>
  <c r="F72" i="9"/>
  <c r="H71" i="9"/>
  <c r="F71" i="9"/>
  <c r="H70" i="9"/>
  <c r="F70" i="9"/>
  <c r="H69" i="9"/>
  <c r="F69" i="9"/>
  <c r="H68" i="9"/>
  <c r="F68" i="9"/>
  <c r="H67" i="9"/>
  <c r="F67" i="9"/>
  <c r="H66" i="9"/>
  <c r="F66" i="9"/>
  <c r="H65" i="9"/>
  <c r="F65" i="9"/>
  <c r="H64" i="9"/>
  <c r="F64" i="9"/>
  <c r="H63" i="9"/>
  <c r="F63" i="9"/>
  <c r="H62" i="9"/>
  <c r="F62" i="9"/>
  <c r="H61" i="9"/>
  <c r="F61" i="9"/>
  <c r="H60" i="9"/>
  <c r="F60" i="9"/>
  <c r="H59" i="9"/>
  <c r="F59" i="9"/>
  <c r="H58" i="9"/>
  <c r="F58" i="9"/>
  <c r="H57" i="9"/>
  <c r="F57" i="9"/>
  <c r="H56" i="9"/>
  <c r="F56" i="9"/>
  <c r="H55" i="9"/>
  <c r="F55" i="9"/>
  <c r="H54" i="9"/>
  <c r="F54" i="9"/>
  <c r="H53" i="9"/>
  <c r="F53" i="9"/>
  <c r="H52" i="9"/>
  <c r="F52" i="9"/>
  <c r="H51" i="9"/>
  <c r="F51" i="9"/>
  <c r="H50" i="9"/>
  <c r="F50" i="9"/>
  <c r="H49" i="9"/>
  <c r="F49" i="9"/>
  <c r="H48" i="9"/>
  <c r="F48" i="9"/>
  <c r="H47" i="9"/>
  <c r="F47" i="9"/>
  <c r="H46" i="9"/>
  <c r="F46" i="9"/>
  <c r="H45" i="9"/>
  <c r="F45" i="9"/>
  <c r="H44" i="9"/>
  <c r="F44" i="9"/>
  <c r="H43" i="9"/>
  <c r="F43" i="9"/>
  <c r="H42" i="9"/>
  <c r="F42" i="9"/>
  <c r="H41" i="9"/>
  <c r="F41" i="9"/>
  <c r="H40" i="9"/>
  <c r="F40" i="9"/>
  <c r="H39" i="9"/>
  <c r="F39" i="9"/>
  <c r="H38" i="9"/>
  <c r="F38" i="9"/>
  <c r="H37" i="9"/>
  <c r="F37" i="9"/>
  <c r="H36" i="9"/>
  <c r="F36" i="9"/>
  <c r="H35" i="9"/>
  <c r="F35" i="9"/>
  <c r="H34" i="9"/>
  <c r="F34" i="9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6" i="9"/>
  <c r="F26" i="9"/>
  <c r="H25" i="9"/>
  <c r="F25" i="9"/>
  <c r="H24" i="9"/>
  <c r="F24" i="9"/>
  <c r="H23" i="9"/>
  <c r="F23" i="9"/>
  <c r="H22" i="9"/>
  <c r="F22" i="9"/>
  <c r="H21" i="9"/>
  <c r="F21" i="9"/>
  <c r="H20" i="9"/>
  <c r="F20" i="9"/>
  <c r="H19" i="9"/>
  <c r="F19" i="9"/>
  <c r="H18" i="9"/>
  <c r="F18" i="9"/>
  <c r="H17" i="9"/>
  <c r="F17" i="9"/>
  <c r="H16" i="9"/>
  <c r="F16" i="9"/>
  <c r="H15" i="9"/>
  <c r="F15" i="9"/>
  <c r="H14" i="9"/>
  <c r="F14" i="9"/>
  <c r="H13" i="9"/>
  <c r="F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H4" i="9"/>
  <c r="F4" i="9"/>
  <c r="H3" i="9"/>
  <c r="F3" i="9"/>
  <c r="E162" i="8"/>
  <c r="G137" i="7"/>
  <c r="E137" i="7"/>
  <c r="G136" i="7"/>
  <c r="E136" i="7"/>
  <c r="G135" i="7"/>
  <c r="E135" i="7"/>
  <c r="G134" i="7"/>
  <c r="E134" i="7"/>
  <c r="G133" i="7"/>
  <c r="E133" i="7"/>
  <c r="G132" i="7"/>
  <c r="E132" i="7"/>
  <c r="G131" i="7"/>
  <c r="E131" i="7"/>
  <c r="G130" i="7"/>
  <c r="E130" i="7"/>
  <c r="G129" i="7"/>
  <c r="E129" i="7"/>
  <c r="G128" i="7"/>
  <c r="E128" i="7"/>
  <c r="G127" i="7"/>
  <c r="E127" i="7"/>
  <c r="G126" i="7"/>
  <c r="E126" i="7"/>
  <c r="G125" i="7"/>
  <c r="E125" i="7"/>
  <c r="G124" i="7"/>
  <c r="E124" i="7"/>
  <c r="G123" i="7"/>
  <c r="E123" i="7"/>
  <c r="G122" i="7"/>
  <c r="E122" i="7"/>
  <c r="G121" i="7"/>
  <c r="E121" i="7"/>
  <c r="G120" i="7"/>
  <c r="E120" i="7"/>
  <c r="G119" i="7"/>
  <c r="E119" i="7"/>
  <c r="G118" i="7"/>
  <c r="E118" i="7"/>
  <c r="G117" i="7"/>
  <c r="E117" i="7"/>
  <c r="G116" i="7"/>
  <c r="E116" i="7"/>
  <c r="G115" i="7"/>
  <c r="E115" i="7"/>
  <c r="G114" i="7"/>
  <c r="E114" i="7"/>
  <c r="G113" i="7"/>
  <c r="E113" i="7"/>
  <c r="G112" i="7"/>
  <c r="E112" i="7"/>
  <c r="G111" i="7"/>
  <c r="E111" i="7"/>
  <c r="G110" i="7"/>
  <c r="E110" i="7"/>
  <c r="G109" i="7"/>
  <c r="E109" i="7"/>
  <c r="G108" i="7"/>
  <c r="E108" i="7"/>
  <c r="G107" i="7"/>
  <c r="E107" i="7"/>
  <c r="G106" i="7"/>
  <c r="E106" i="7"/>
  <c r="G105" i="7"/>
  <c r="E105" i="7"/>
  <c r="G104" i="7"/>
  <c r="E104" i="7"/>
  <c r="G103" i="7"/>
  <c r="E103" i="7"/>
  <c r="G102" i="7"/>
  <c r="E102" i="7"/>
  <c r="G101" i="7"/>
  <c r="E101" i="7"/>
  <c r="G100" i="7"/>
  <c r="E100" i="7"/>
  <c r="G99" i="7"/>
  <c r="E99" i="7"/>
  <c r="G98" i="7"/>
  <c r="E98" i="7"/>
  <c r="G97" i="7"/>
  <c r="E97" i="7"/>
  <c r="G96" i="7"/>
  <c r="E96" i="7"/>
  <c r="G95" i="7"/>
  <c r="E95" i="7"/>
  <c r="G94" i="7"/>
  <c r="E94" i="7"/>
  <c r="G93" i="7"/>
  <c r="E93" i="7"/>
  <c r="G92" i="7"/>
  <c r="E92" i="7"/>
  <c r="G91" i="7"/>
  <c r="E91" i="7"/>
  <c r="G90" i="7"/>
  <c r="E90" i="7"/>
  <c r="G89" i="7"/>
  <c r="E89" i="7"/>
  <c r="G88" i="7"/>
  <c r="E88" i="7"/>
  <c r="G87" i="7"/>
  <c r="E87" i="7"/>
  <c r="G86" i="7"/>
  <c r="E86" i="7"/>
  <c r="G85" i="7"/>
  <c r="E85" i="7"/>
  <c r="G84" i="7"/>
  <c r="E84" i="7"/>
  <c r="G83" i="7"/>
  <c r="E83" i="7"/>
  <c r="G82" i="7"/>
  <c r="E82" i="7"/>
  <c r="G81" i="7"/>
  <c r="E81" i="7"/>
  <c r="G80" i="7"/>
  <c r="E80" i="7"/>
  <c r="G79" i="7"/>
  <c r="E79" i="7"/>
  <c r="G78" i="7"/>
  <c r="E78" i="7"/>
  <c r="G77" i="7"/>
  <c r="E77" i="7"/>
  <c r="G76" i="7"/>
  <c r="E76" i="7"/>
  <c r="G75" i="7"/>
  <c r="E75" i="7"/>
  <c r="G74" i="7"/>
  <c r="E74" i="7"/>
  <c r="G73" i="7"/>
  <c r="E73" i="7"/>
  <c r="G72" i="7"/>
  <c r="E72" i="7"/>
  <c r="G71" i="7"/>
  <c r="E71" i="7"/>
  <c r="G70" i="7"/>
  <c r="E70" i="7"/>
  <c r="G69" i="7"/>
  <c r="E69" i="7"/>
  <c r="G68" i="7"/>
  <c r="E68" i="7"/>
  <c r="G67" i="7"/>
  <c r="E67" i="7"/>
  <c r="G66" i="7"/>
  <c r="E66" i="7"/>
  <c r="G65" i="7"/>
  <c r="E65" i="7"/>
  <c r="G64" i="7"/>
  <c r="E64" i="7"/>
  <c r="G63" i="7"/>
  <c r="E63" i="7"/>
  <c r="G62" i="7"/>
  <c r="E62" i="7"/>
  <c r="G61" i="7"/>
  <c r="E61" i="7"/>
  <c r="G60" i="7"/>
  <c r="E60" i="7"/>
  <c r="G59" i="7"/>
  <c r="E59" i="7"/>
  <c r="G58" i="7"/>
  <c r="E58" i="7"/>
  <c r="G57" i="7"/>
  <c r="E57" i="7"/>
  <c r="G56" i="7"/>
  <c r="E56" i="7"/>
  <c r="G55" i="7"/>
  <c r="E55" i="7"/>
  <c r="G54" i="7"/>
  <c r="E54" i="7"/>
  <c r="G53" i="7"/>
  <c r="E53" i="7"/>
  <c r="G52" i="7"/>
  <c r="E52" i="7"/>
  <c r="G51" i="7"/>
  <c r="E51" i="7"/>
  <c r="G50" i="7"/>
  <c r="E50" i="7"/>
  <c r="G49" i="7"/>
  <c r="E49" i="7"/>
  <c r="G48" i="7"/>
  <c r="E48" i="7"/>
  <c r="G47" i="7"/>
  <c r="E47" i="7"/>
  <c r="G46" i="7"/>
  <c r="E46" i="7"/>
  <c r="G45" i="7"/>
  <c r="E45" i="7"/>
  <c r="G44" i="7"/>
  <c r="E44" i="7"/>
  <c r="G43" i="7"/>
  <c r="E43" i="7"/>
  <c r="G42" i="7"/>
  <c r="E42" i="7"/>
  <c r="G41" i="7"/>
  <c r="E41" i="7"/>
  <c r="G40" i="7"/>
  <c r="E40" i="7"/>
  <c r="G39" i="7"/>
  <c r="E39" i="7"/>
  <c r="G38" i="7"/>
  <c r="E38" i="7"/>
  <c r="G37" i="7"/>
  <c r="E37" i="7"/>
  <c r="G36" i="7"/>
  <c r="E36" i="7"/>
  <c r="G35" i="7"/>
  <c r="E35" i="7"/>
  <c r="G34" i="7"/>
  <c r="E34" i="7"/>
  <c r="G33" i="7"/>
  <c r="E33" i="7"/>
  <c r="G32" i="7"/>
  <c r="E32" i="7"/>
  <c r="G31" i="7"/>
  <c r="E31" i="7"/>
  <c r="G30" i="7"/>
  <c r="E30" i="7"/>
  <c r="G29" i="7"/>
  <c r="E29" i="7"/>
  <c r="G28" i="7"/>
  <c r="E28" i="7"/>
  <c r="G27" i="7"/>
  <c r="E27" i="7"/>
  <c r="G26" i="7"/>
  <c r="E26" i="7"/>
  <c r="G25" i="7"/>
  <c r="E25" i="7"/>
  <c r="G24" i="7"/>
  <c r="E24" i="7" s="1"/>
  <c r="G23" i="7"/>
  <c r="E23" i="7"/>
  <c r="G22" i="7"/>
  <c r="E22" i="7"/>
  <c r="G21" i="7"/>
  <c r="E21" i="7"/>
  <c r="G20" i="7"/>
  <c r="E20" i="7" s="1"/>
  <c r="D20" i="7"/>
  <c r="G19" i="7"/>
  <c r="E19" i="7" s="1"/>
  <c r="G18" i="7"/>
  <c r="E18" i="7" s="1"/>
  <c r="G17" i="7"/>
  <c r="E17" i="7"/>
  <c r="G16" i="7"/>
  <c r="E16" i="7" s="1"/>
  <c r="G15" i="7"/>
  <c r="E15" i="7" s="1"/>
  <c r="G14" i="7"/>
  <c r="E14" i="7" s="1"/>
  <c r="G13" i="7"/>
  <c r="E13" i="7"/>
  <c r="G12" i="7"/>
  <c r="E12" i="7" s="1"/>
  <c r="G11" i="7"/>
  <c r="E11" i="7" s="1"/>
  <c r="G10" i="7"/>
  <c r="E10" i="7" s="1"/>
  <c r="G9" i="7"/>
  <c r="E9" i="7"/>
  <c r="G8" i="7"/>
  <c r="E8" i="7"/>
  <c r="G7" i="7"/>
  <c r="E7" i="7" s="1"/>
  <c r="D6" i="7"/>
  <c r="D138" i="7" s="1"/>
  <c r="G5" i="7"/>
  <c r="E5" i="7" s="1"/>
  <c r="G4" i="7"/>
  <c r="E4" i="7"/>
  <c r="G3" i="7"/>
  <c r="E3" i="7"/>
  <c r="G153" i="6"/>
  <c r="E153" i="6"/>
  <c r="G152" i="6"/>
  <c r="E152" i="6"/>
  <c r="G151" i="6"/>
  <c r="E151" i="6"/>
  <c r="G150" i="6"/>
  <c r="E150" i="6"/>
  <c r="G149" i="6"/>
  <c r="E149" i="6"/>
  <c r="G148" i="6"/>
  <c r="E148" i="6"/>
  <c r="G147" i="6"/>
  <c r="E147" i="6"/>
  <c r="G146" i="6"/>
  <c r="E146" i="6"/>
  <c r="G145" i="6"/>
  <c r="E145" i="6"/>
  <c r="G144" i="6"/>
  <c r="E144" i="6"/>
  <c r="G143" i="6"/>
  <c r="E143" i="6"/>
  <c r="G142" i="6"/>
  <c r="E142" i="6"/>
  <c r="G141" i="6"/>
  <c r="E141" i="6"/>
  <c r="G140" i="6"/>
  <c r="E140" i="6"/>
  <c r="G139" i="6"/>
  <c r="E139" i="6"/>
  <c r="G138" i="6"/>
  <c r="E138" i="6"/>
  <c r="G137" i="6"/>
  <c r="E137" i="6"/>
  <c r="G136" i="6"/>
  <c r="E136" i="6"/>
  <c r="G135" i="6"/>
  <c r="E135" i="6"/>
  <c r="G134" i="6"/>
  <c r="E134" i="6"/>
  <c r="G133" i="6"/>
  <c r="E133" i="6"/>
  <c r="G132" i="6"/>
  <c r="E132" i="6"/>
  <c r="G131" i="6"/>
  <c r="E131" i="6"/>
  <c r="G130" i="6"/>
  <c r="E130" i="6"/>
  <c r="G129" i="6"/>
  <c r="E129" i="6"/>
  <c r="G128" i="6"/>
  <c r="E128" i="6"/>
  <c r="G127" i="6"/>
  <c r="E127" i="6"/>
  <c r="G126" i="6"/>
  <c r="E126" i="6"/>
  <c r="G125" i="6"/>
  <c r="E125" i="6"/>
  <c r="G124" i="6"/>
  <c r="E124" i="6"/>
  <c r="G123" i="6"/>
  <c r="E123" i="6"/>
  <c r="G122" i="6"/>
  <c r="E122" i="6"/>
  <c r="G121" i="6"/>
  <c r="E121" i="6"/>
  <c r="G120" i="6"/>
  <c r="E120" i="6"/>
  <c r="G119" i="6"/>
  <c r="E119" i="6"/>
  <c r="G118" i="6"/>
  <c r="E118" i="6"/>
  <c r="G117" i="6"/>
  <c r="E117" i="6"/>
  <c r="G116" i="6"/>
  <c r="E116" i="6"/>
  <c r="G115" i="6"/>
  <c r="E115" i="6"/>
  <c r="G114" i="6"/>
  <c r="E114" i="6"/>
  <c r="G113" i="6"/>
  <c r="E113" i="6"/>
  <c r="G112" i="6"/>
  <c r="E112" i="6"/>
  <c r="G111" i="6"/>
  <c r="E111" i="6"/>
  <c r="G110" i="6"/>
  <c r="E110" i="6"/>
  <c r="G109" i="6"/>
  <c r="E109" i="6"/>
  <c r="G108" i="6"/>
  <c r="E108" i="6"/>
  <c r="G107" i="6"/>
  <c r="E107" i="6"/>
  <c r="G106" i="6"/>
  <c r="E106" i="6"/>
  <c r="G105" i="6"/>
  <c r="E105" i="6"/>
  <c r="G104" i="6"/>
  <c r="E104" i="6"/>
  <c r="G103" i="6"/>
  <c r="E103" i="6"/>
  <c r="G102" i="6"/>
  <c r="E102" i="6"/>
  <c r="G101" i="6"/>
  <c r="E101" i="6"/>
  <c r="G100" i="6"/>
  <c r="E100" i="6"/>
  <c r="G99" i="6"/>
  <c r="E99" i="6"/>
  <c r="G98" i="6"/>
  <c r="E98" i="6"/>
  <c r="G97" i="6"/>
  <c r="E97" i="6"/>
  <c r="G96" i="6"/>
  <c r="E96" i="6"/>
  <c r="G95" i="6"/>
  <c r="E95" i="6"/>
  <c r="G94" i="6"/>
  <c r="E94" i="6"/>
  <c r="G93" i="6"/>
  <c r="E93" i="6"/>
  <c r="G92" i="6"/>
  <c r="E92" i="6"/>
  <c r="G91" i="6"/>
  <c r="E91" i="6"/>
  <c r="G90" i="6"/>
  <c r="E90" i="6"/>
  <c r="G89" i="6"/>
  <c r="E89" i="6"/>
  <c r="G88" i="6"/>
  <c r="E88" i="6"/>
  <c r="G87" i="6"/>
  <c r="E87" i="6"/>
  <c r="G86" i="6"/>
  <c r="E86" i="6"/>
  <c r="G85" i="6"/>
  <c r="E85" i="6"/>
  <c r="G84" i="6"/>
  <c r="E84" i="6"/>
  <c r="G83" i="6"/>
  <c r="E83" i="6"/>
  <c r="G82" i="6"/>
  <c r="E82" i="6"/>
  <c r="G81" i="6"/>
  <c r="E81" i="6"/>
  <c r="G80" i="6"/>
  <c r="E80" i="6"/>
  <c r="G79" i="6"/>
  <c r="E79" i="6"/>
  <c r="G78" i="6"/>
  <c r="E78" i="6"/>
  <c r="G77" i="6"/>
  <c r="E77" i="6"/>
  <c r="G76" i="6"/>
  <c r="E76" i="6"/>
  <c r="G75" i="6"/>
  <c r="E75" i="6"/>
  <c r="G74" i="6"/>
  <c r="E74" i="6"/>
  <c r="G73" i="6"/>
  <c r="E73" i="6"/>
  <c r="G72" i="6"/>
  <c r="E72" i="6"/>
  <c r="G71" i="6"/>
  <c r="E71" i="6"/>
  <c r="G70" i="6"/>
  <c r="E70" i="6"/>
  <c r="G69" i="6"/>
  <c r="E69" i="6"/>
  <c r="G68" i="6"/>
  <c r="E68" i="6"/>
  <c r="G67" i="6"/>
  <c r="E67" i="6"/>
  <c r="G66" i="6"/>
  <c r="E66" i="6"/>
  <c r="G65" i="6"/>
  <c r="E65" i="6"/>
  <c r="G64" i="6"/>
  <c r="E64" i="6"/>
  <c r="G63" i="6"/>
  <c r="E63" i="6"/>
  <c r="G62" i="6"/>
  <c r="E62" i="6"/>
  <c r="G61" i="6"/>
  <c r="E61" i="6"/>
  <c r="G60" i="6"/>
  <c r="E60" i="6"/>
  <c r="G59" i="6"/>
  <c r="E59" i="6"/>
  <c r="G58" i="6"/>
  <c r="E58" i="6"/>
  <c r="G57" i="6"/>
  <c r="E57" i="6"/>
  <c r="G56" i="6"/>
  <c r="E56" i="6"/>
  <c r="G55" i="6"/>
  <c r="E55" i="6"/>
  <c r="G54" i="6"/>
  <c r="E54" i="6"/>
  <c r="G53" i="6"/>
  <c r="E53" i="6"/>
  <c r="G52" i="6"/>
  <c r="E52" i="6"/>
  <c r="G51" i="6"/>
  <c r="E51" i="6"/>
  <c r="G50" i="6"/>
  <c r="E50" i="6"/>
  <c r="G49" i="6"/>
  <c r="E49" i="6"/>
  <c r="G48" i="6"/>
  <c r="E48" i="6"/>
  <c r="G47" i="6"/>
  <c r="E47" i="6"/>
  <c r="G46" i="6"/>
  <c r="E46" i="6"/>
  <c r="G45" i="6"/>
  <c r="E45" i="6"/>
  <c r="G44" i="6"/>
  <c r="E44" i="6"/>
  <c r="G43" i="6"/>
  <c r="E43" i="6"/>
  <c r="G42" i="6"/>
  <c r="E42" i="6"/>
  <c r="G41" i="6"/>
  <c r="E41" i="6" s="1"/>
  <c r="G40" i="6"/>
  <c r="E40" i="6" s="1"/>
  <c r="G39" i="6"/>
  <c r="E39" i="6" s="1"/>
  <c r="G38" i="6"/>
  <c r="E38" i="6"/>
  <c r="G37" i="6"/>
  <c r="E37" i="6" s="1"/>
  <c r="G36" i="6"/>
  <c r="E36" i="6" s="1"/>
  <c r="G35" i="6"/>
  <c r="E35" i="6" s="1"/>
  <c r="G34" i="6"/>
  <c r="E34" i="6"/>
  <c r="G33" i="6"/>
  <c r="E33" i="6"/>
  <c r="G32" i="6"/>
  <c r="E32" i="6" s="1"/>
  <c r="G31" i="6"/>
  <c r="E31" i="6" s="1"/>
  <c r="G30" i="6"/>
  <c r="E30" i="6"/>
  <c r="G29" i="6"/>
  <c r="E29" i="6"/>
  <c r="G28" i="6"/>
  <c r="E28" i="6" s="1"/>
  <c r="G27" i="6"/>
  <c r="E27" i="6" s="1"/>
  <c r="G26" i="6"/>
  <c r="E26" i="6"/>
  <c r="G25" i="6"/>
  <c r="E25" i="6"/>
  <c r="G24" i="6"/>
  <c r="E24" i="6" s="1"/>
  <c r="G23" i="6"/>
  <c r="E23" i="6" s="1"/>
  <c r="G22" i="6"/>
  <c r="E22" i="6"/>
  <c r="G21" i="6"/>
  <c r="E21" i="6"/>
  <c r="G20" i="6"/>
  <c r="E20" i="6" s="1"/>
  <c r="G19" i="6"/>
  <c r="E19" i="6" s="1"/>
  <c r="G18" i="6"/>
  <c r="E18" i="6"/>
  <c r="G17" i="6"/>
  <c r="E17" i="6"/>
  <c r="G16" i="6"/>
  <c r="E16" i="6" s="1"/>
  <c r="G15" i="6"/>
  <c r="E15" i="6" s="1"/>
  <c r="G14" i="6"/>
  <c r="E14" i="6"/>
  <c r="G13" i="6"/>
  <c r="E13" i="6"/>
  <c r="G12" i="6"/>
  <c r="E12" i="6" s="1"/>
  <c r="G11" i="6"/>
  <c r="E11" i="6"/>
  <c r="G10" i="6"/>
  <c r="E10" i="6"/>
  <c r="D10" i="6"/>
  <c r="G9" i="6"/>
  <c r="E9" i="6"/>
  <c r="D9" i="6"/>
  <c r="D8" i="6"/>
  <c r="D154" i="6" s="1"/>
  <c r="G7" i="6"/>
  <c r="D7" i="6"/>
  <c r="E7" i="6" s="1"/>
  <c r="G6" i="6"/>
  <c r="D6" i="6"/>
  <c r="E6" i="6" s="1"/>
  <c r="G5" i="6"/>
  <c r="E5" i="6"/>
  <c r="G4" i="6"/>
  <c r="E4" i="6"/>
  <c r="G3" i="6"/>
  <c r="E3" i="6"/>
  <c r="G915" i="5"/>
  <c r="E915" i="5"/>
  <c r="G914" i="5"/>
  <c r="E914" i="5"/>
  <c r="G913" i="5"/>
  <c r="E913" i="5"/>
  <c r="G912" i="5"/>
  <c r="E912" i="5"/>
  <c r="G911" i="5"/>
  <c r="E911" i="5"/>
  <c r="G910" i="5"/>
  <c r="E910" i="5"/>
  <c r="G909" i="5"/>
  <c r="E909" i="5"/>
  <c r="G908" i="5"/>
  <c r="E908" i="5"/>
  <c r="G907" i="5"/>
  <c r="E907" i="5"/>
  <c r="G906" i="5"/>
  <c r="E906" i="5"/>
  <c r="G905" i="5"/>
  <c r="E905" i="5"/>
  <c r="G904" i="5"/>
  <c r="E904" i="5"/>
  <c r="G903" i="5"/>
  <c r="E903" i="5"/>
  <c r="G902" i="5"/>
  <c r="E902" i="5"/>
  <c r="G901" i="5"/>
  <c r="E901" i="5"/>
  <c r="G900" i="5"/>
  <c r="E900" i="5"/>
  <c r="G899" i="5"/>
  <c r="E899" i="5"/>
  <c r="G898" i="5"/>
  <c r="E898" i="5"/>
  <c r="G897" i="5"/>
  <c r="E897" i="5"/>
  <c r="G896" i="5"/>
  <c r="E896" i="5"/>
  <c r="G895" i="5"/>
  <c r="E895" i="5"/>
  <c r="G894" i="5"/>
  <c r="E894" i="5"/>
  <c r="G893" i="5"/>
  <c r="E893" i="5"/>
  <c r="G892" i="5"/>
  <c r="E892" i="5"/>
  <c r="G891" i="5"/>
  <c r="E891" i="5"/>
  <c r="G890" i="5"/>
  <c r="E890" i="5"/>
  <c r="G889" i="5"/>
  <c r="E889" i="5"/>
  <c r="G888" i="5"/>
  <c r="E888" i="5"/>
  <c r="G887" i="5"/>
  <c r="E887" i="5"/>
  <c r="G886" i="5"/>
  <c r="E886" i="5"/>
  <c r="G885" i="5"/>
  <c r="E885" i="5"/>
  <c r="G884" i="5"/>
  <c r="E884" i="5"/>
  <c r="G883" i="5"/>
  <c r="E883" i="5"/>
  <c r="G882" i="5"/>
  <c r="E882" i="5"/>
  <c r="G881" i="5"/>
  <c r="E881" i="5"/>
  <c r="G880" i="5"/>
  <c r="E880" i="5"/>
  <c r="G879" i="5"/>
  <c r="E879" i="5"/>
  <c r="G878" i="5"/>
  <c r="E878" i="5"/>
  <c r="G877" i="5"/>
  <c r="E877" i="5"/>
  <c r="G876" i="5"/>
  <c r="E876" i="5"/>
  <c r="G875" i="5"/>
  <c r="E875" i="5"/>
  <c r="G874" i="5"/>
  <c r="E874" i="5"/>
  <c r="G873" i="5"/>
  <c r="E873" i="5"/>
  <c r="G872" i="5"/>
  <c r="E872" i="5"/>
  <c r="G871" i="5"/>
  <c r="E871" i="5"/>
  <c r="G870" i="5"/>
  <c r="E870" i="5"/>
  <c r="G869" i="5"/>
  <c r="E869" i="5"/>
  <c r="G868" i="5"/>
  <c r="E868" i="5"/>
  <c r="G867" i="5"/>
  <c r="E867" i="5"/>
  <c r="G866" i="5"/>
  <c r="E866" i="5"/>
  <c r="G865" i="5"/>
  <c r="E865" i="5"/>
  <c r="G864" i="5"/>
  <c r="E864" i="5"/>
  <c r="G863" i="5"/>
  <c r="E863" i="5"/>
  <c r="G862" i="5"/>
  <c r="E862" i="5"/>
  <c r="G861" i="5"/>
  <c r="E861" i="5"/>
  <c r="G860" i="5"/>
  <c r="E860" i="5"/>
  <c r="G859" i="5"/>
  <c r="E859" i="5"/>
  <c r="G858" i="5"/>
  <c r="E858" i="5"/>
  <c r="G857" i="5"/>
  <c r="E857" i="5"/>
  <c r="G856" i="5"/>
  <c r="E856" i="5"/>
  <c r="G855" i="5"/>
  <c r="E855" i="5"/>
  <c r="G854" i="5"/>
  <c r="E854" i="5"/>
  <c r="G853" i="5"/>
  <c r="E853" i="5"/>
  <c r="G852" i="5"/>
  <c r="E852" i="5"/>
  <c r="G851" i="5"/>
  <c r="E851" i="5"/>
  <c r="G850" i="5"/>
  <c r="E850" i="5"/>
  <c r="G849" i="5"/>
  <c r="E849" i="5" s="1"/>
  <c r="G848" i="5"/>
  <c r="E848" i="5"/>
  <c r="G847" i="5"/>
  <c r="E847" i="5"/>
  <c r="G846" i="5"/>
  <c r="E846" i="5"/>
  <c r="G845" i="5"/>
  <c r="E845" i="5" s="1"/>
  <c r="G844" i="5"/>
  <c r="E844" i="5"/>
  <c r="G843" i="5"/>
  <c r="E843" i="5"/>
  <c r="G842" i="5"/>
  <c r="E842" i="5"/>
  <c r="G841" i="5"/>
  <c r="E841" i="5" s="1"/>
  <c r="G840" i="5"/>
  <c r="E840" i="5"/>
  <c r="G839" i="5"/>
  <c r="E839" i="5"/>
  <c r="G838" i="5"/>
  <c r="E838" i="5"/>
  <c r="G837" i="5"/>
  <c r="E837" i="5"/>
  <c r="G836" i="5"/>
  <c r="E836" i="5"/>
  <c r="G835" i="5"/>
  <c r="E835" i="5"/>
  <c r="G834" i="5"/>
  <c r="E834" i="5"/>
  <c r="G833" i="5"/>
  <c r="E833" i="5"/>
  <c r="G832" i="5"/>
  <c r="E832" i="5"/>
  <c r="G831" i="5"/>
  <c r="E831" i="5"/>
  <c r="G830" i="5"/>
  <c r="E830" i="5"/>
  <c r="G829" i="5"/>
  <c r="E829" i="5"/>
  <c r="G828" i="5"/>
  <c r="E828" i="5"/>
  <c r="G827" i="5"/>
  <c r="E827" i="5"/>
  <c r="G826" i="5"/>
  <c r="E826" i="5"/>
  <c r="G825" i="5"/>
  <c r="E825" i="5"/>
  <c r="G824" i="5"/>
  <c r="E824" i="5"/>
  <c r="G823" i="5"/>
  <c r="E823" i="5"/>
  <c r="G822" i="5"/>
  <c r="E822" i="5"/>
  <c r="G821" i="5"/>
  <c r="E821" i="5"/>
  <c r="G820" i="5"/>
  <c r="E820" i="5"/>
  <c r="G819" i="5"/>
  <c r="E819" i="5"/>
  <c r="G818" i="5"/>
  <c r="E818" i="5"/>
  <c r="G817" i="5"/>
  <c r="E817" i="5"/>
  <c r="G816" i="5"/>
  <c r="E816" i="5"/>
  <c r="G815" i="5"/>
  <c r="E815" i="5"/>
  <c r="G814" i="5"/>
  <c r="E814" i="5"/>
  <c r="G813" i="5"/>
  <c r="E813" i="5"/>
  <c r="G812" i="5"/>
  <c r="E812" i="5"/>
  <c r="G811" i="5"/>
  <c r="E811" i="5"/>
  <c r="G810" i="5"/>
  <c r="E810" i="5"/>
  <c r="G809" i="5"/>
  <c r="E809" i="5"/>
  <c r="G808" i="5"/>
  <c r="E808" i="5"/>
  <c r="G807" i="5"/>
  <c r="E807" i="5"/>
  <c r="G806" i="5"/>
  <c r="E806" i="5"/>
  <c r="G805" i="5"/>
  <c r="E805" i="5"/>
  <c r="G804" i="5"/>
  <c r="E804" i="5"/>
  <c r="G803" i="5"/>
  <c r="E803" i="5"/>
  <c r="G802" i="5"/>
  <c r="E802" i="5"/>
  <c r="G801" i="5"/>
  <c r="E801" i="5"/>
  <c r="G800" i="5"/>
  <c r="E800" i="5"/>
  <c r="G799" i="5"/>
  <c r="E799" i="5"/>
  <c r="G798" i="5"/>
  <c r="E798" i="5"/>
  <c r="G797" i="5"/>
  <c r="E797" i="5"/>
  <c r="G796" i="5"/>
  <c r="E796" i="5"/>
  <c r="G795" i="5"/>
  <c r="E795" i="5"/>
  <c r="G794" i="5"/>
  <c r="E794" i="5"/>
  <c r="G793" i="5"/>
  <c r="E793" i="5"/>
  <c r="G792" i="5"/>
  <c r="E792" i="5"/>
  <c r="G791" i="5"/>
  <c r="E791" i="5"/>
  <c r="G790" i="5"/>
  <c r="E790" i="5"/>
  <c r="G789" i="5"/>
  <c r="E789" i="5"/>
  <c r="G788" i="5"/>
  <c r="E788" i="5"/>
  <c r="G787" i="5"/>
  <c r="E787" i="5"/>
  <c r="G786" i="5"/>
  <c r="E786" i="5"/>
  <c r="G785" i="5"/>
  <c r="E785" i="5"/>
  <c r="G784" i="5"/>
  <c r="E784" i="5"/>
  <c r="G783" i="5"/>
  <c r="E783" i="5"/>
  <c r="G782" i="5"/>
  <c r="E782" i="5"/>
  <c r="G781" i="5"/>
  <c r="E781" i="5"/>
  <c r="G780" i="5"/>
  <c r="E780" i="5"/>
  <c r="G779" i="5"/>
  <c r="E779" i="5"/>
  <c r="G778" i="5"/>
  <c r="E778" i="5"/>
  <c r="G777" i="5"/>
  <c r="E777" i="5"/>
  <c r="G776" i="5"/>
  <c r="E776" i="5"/>
  <c r="G775" i="5"/>
  <c r="E775" i="5"/>
  <c r="G774" i="5"/>
  <c r="E774" i="5"/>
  <c r="G773" i="5"/>
  <c r="E773" i="5"/>
  <c r="G772" i="5"/>
  <c r="E772" i="5"/>
  <c r="G771" i="5"/>
  <c r="E771" i="5"/>
  <c r="G770" i="5"/>
  <c r="E770" i="5"/>
  <c r="G769" i="5"/>
  <c r="E769" i="5"/>
  <c r="G768" i="5"/>
  <c r="E768" i="5"/>
  <c r="G767" i="5"/>
  <c r="E767" i="5"/>
  <c r="G766" i="5"/>
  <c r="E766" i="5"/>
  <c r="G765" i="5"/>
  <c r="E765" i="5"/>
  <c r="G764" i="5"/>
  <c r="E764" i="5"/>
  <c r="G763" i="5"/>
  <c r="E763" i="5"/>
  <c r="G762" i="5"/>
  <c r="E762" i="5"/>
  <c r="G761" i="5"/>
  <c r="E761" i="5"/>
  <c r="G760" i="5"/>
  <c r="E760" i="5"/>
  <c r="G759" i="5"/>
  <c r="E759" i="5"/>
  <c r="G758" i="5"/>
  <c r="E758" i="5"/>
  <c r="G757" i="5"/>
  <c r="E757" i="5"/>
  <c r="G756" i="5"/>
  <c r="E756" i="5"/>
  <c r="G755" i="5"/>
  <c r="E755" i="5"/>
  <c r="G754" i="5"/>
  <c r="E754" i="5"/>
  <c r="G753" i="5"/>
  <c r="E753" i="5"/>
  <c r="G752" i="5"/>
  <c r="E752" i="5"/>
  <c r="G751" i="5"/>
  <c r="E751" i="5"/>
  <c r="G750" i="5"/>
  <c r="E750" i="5"/>
  <c r="G749" i="5"/>
  <c r="E749" i="5"/>
  <c r="G748" i="5"/>
  <c r="E748" i="5"/>
  <c r="G747" i="5"/>
  <c r="E747" i="5"/>
  <c r="G746" i="5"/>
  <c r="E746" i="5"/>
  <c r="G745" i="5"/>
  <c r="E745" i="5"/>
  <c r="G744" i="5"/>
  <c r="E744" i="5"/>
  <c r="G743" i="5"/>
  <c r="E743" i="5"/>
  <c r="G742" i="5"/>
  <c r="E742" i="5"/>
  <c r="G741" i="5"/>
  <c r="E741" i="5"/>
  <c r="G740" i="5"/>
  <c r="E740" i="5"/>
  <c r="G739" i="5"/>
  <c r="E739" i="5"/>
  <c r="G738" i="5"/>
  <c r="E738" i="5"/>
  <c r="G737" i="5"/>
  <c r="E737" i="5"/>
  <c r="G736" i="5"/>
  <c r="E736" i="5"/>
  <c r="G735" i="5"/>
  <c r="E735" i="5"/>
  <c r="G734" i="5"/>
  <c r="E734" i="5"/>
  <c r="G733" i="5"/>
  <c r="E733" i="5"/>
  <c r="G732" i="5"/>
  <c r="E732" i="5"/>
  <c r="G731" i="5"/>
  <c r="E731" i="5"/>
  <c r="G730" i="5"/>
  <c r="E730" i="5"/>
  <c r="G729" i="5"/>
  <c r="E729" i="5"/>
  <c r="G728" i="5"/>
  <c r="E728" i="5"/>
  <c r="G727" i="5"/>
  <c r="E727" i="5"/>
  <c r="G726" i="5"/>
  <c r="E726" i="5"/>
  <c r="G725" i="5"/>
  <c r="E725" i="5"/>
  <c r="G724" i="5"/>
  <c r="E724" i="5"/>
  <c r="G723" i="5"/>
  <c r="E723" i="5"/>
  <c r="G722" i="5"/>
  <c r="E722" i="5"/>
  <c r="G721" i="5"/>
  <c r="E721" i="5"/>
  <c r="G720" i="5"/>
  <c r="E720" i="5"/>
  <c r="G719" i="5"/>
  <c r="E719" i="5"/>
  <c r="G718" i="5"/>
  <c r="E718" i="5"/>
  <c r="G717" i="5"/>
  <c r="E717" i="5"/>
  <c r="G716" i="5"/>
  <c r="E716" i="5"/>
  <c r="G715" i="5"/>
  <c r="E715" i="5"/>
  <c r="G714" i="5"/>
  <c r="E714" i="5"/>
  <c r="G713" i="5"/>
  <c r="E713" i="5"/>
  <c r="G712" i="5"/>
  <c r="E712" i="5"/>
  <c r="G711" i="5"/>
  <c r="E711" i="5"/>
  <c r="G710" i="5"/>
  <c r="E710" i="5"/>
  <c r="G709" i="5"/>
  <c r="E709" i="5"/>
  <c r="G708" i="5"/>
  <c r="E708" i="5"/>
  <c r="G707" i="5"/>
  <c r="E707" i="5"/>
  <c r="G706" i="5"/>
  <c r="E706" i="5"/>
  <c r="G705" i="5"/>
  <c r="E705" i="5"/>
  <c r="G704" i="5"/>
  <c r="E704" i="5"/>
  <c r="G703" i="5"/>
  <c r="E703" i="5"/>
  <c r="G702" i="5"/>
  <c r="E702" i="5"/>
  <c r="G701" i="5"/>
  <c r="E701" i="5"/>
  <c r="G700" i="5"/>
  <c r="E700" i="5"/>
  <c r="G699" i="5"/>
  <c r="E699" i="5"/>
  <c r="G698" i="5"/>
  <c r="E698" i="5"/>
  <c r="G697" i="5"/>
  <c r="E697" i="5"/>
  <c r="G696" i="5"/>
  <c r="E696" i="5"/>
  <c r="G695" i="5"/>
  <c r="E695" i="5"/>
  <c r="G694" i="5"/>
  <c r="E694" i="5"/>
  <c r="G693" i="5"/>
  <c r="D693" i="5"/>
  <c r="E693" i="5" s="1"/>
  <c r="G692" i="5"/>
  <c r="E692" i="5"/>
  <c r="G691" i="5"/>
  <c r="E691" i="5" s="1"/>
  <c r="G690" i="5"/>
  <c r="E690" i="5"/>
  <c r="G689" i="5"/>
  <c r="E689" i="5"/>
  <c r="G688" i="5"/>
  <c r="E688" i="5"/>
  <c r="G687" i="5"/>
  <c r="E687" i="5"/>
  <c r="G686" i="5"/>
  <c r="E686" i="5"/>
  <c r="G685" i="5"/>
  <c r="E685" i="5"/>
  <c r="G684" i="5"/>
  <c r="E684" i="5"/>
  <c r="G683" i="5"/>
  <c r="E683" i="5"/>
  <c r="G682" i="5"/>
  <c r="E682" i="5"/>
  <c r="G681" i="5"/>
  <c r="E681" i="5"/>
  <c r="G680" i="5"/>
  <c r="E680" i="5"/>
  <c r="G679" i="5"/>
  <c r="E679" i="5"/>
  <c r="G678" i="5"/>
  <c r="E678" i="5"/>
  <c r="G677" i="5"/>
  <c r="E677" i="5"/>
  <c r="G676" i="5"/>
  <c r="E676" i="5"/>
  <c r="G675" i="5"/>
  <c r="E675" i="5"/>
  <c r="G674" i="5"/>
  <c r="E674" i="5"/>
  <c r="G673" i="5"/>
  <c r="E673" i="5"/>
  <c r="D673" i="5"/>
  <c r="G672" i="5"/>
  <c r="E672" i="5"/>
  <c r="G671" i="5"/>
  <c r="E671" i="5"/>
  <c r="G670" i="5"/>
  <c r="E670" i="5" s="1"/>
  <c r="G669" i="5"/>
  <c r="E669" i="5" s="1"/>
  <c r="G668" i="5"/>
  <c r="E668" i="5"/>
  <c r="G667" i="5"/>
  <c r="E667" i="5"/>
  <c r="G666" i="5"/>
  <c r="E666" i="5" s="1"/>
  <c r="G665" i="5"/>
  <c r="E665" i="5" s="1"/>
  <c r="G664" i="5"/>
  <c r="E664" i="5"/>
  <c r="G663" i="5"/>
  <c r="E663" i="5"/>
  <c r="G662" i="5"/>
  <c r="E662" i="5" s="1"/>
  <c r="G661" i="5"/>
  <c r="E661" i="5" s="1"/>
  <c r="G660" i="5"/>
  <c r="E660" i="5"/>
  <c r="G659" i="5"/>
  <c r="E659" i="5"/>
  <c r="G658" i="5"/>
  <c r="E658" i="5" s="1"/>
  <c r="G657" i="5"/>
  <c r="E657" i="5" s="1"/>
  <c r="G656" i="5"/>
  <c r="E656" i="5"/>
  <c r="G655" i="5"/>
  <c r="E655" i="5"/>
  <c r="G654" i="5"/>
  <c r="E654" i="5" s="1"/>
  <c r="G653" i="5"/>
  <c r="E653" i="5"/>
  <c r="G652" i="5"/>
  <c r="E652" i="5"/>
  <c r="G651" i="5"/>
  <c r="E651" i="5"/>
  <c r="G650" i="5"/>
  <c r="E650" i="5"/>
  <c r="G649" i="5"/>
  <c r="E649" i="5"/>
  <c r="G648" i="5"/>
  <c r="E648" i="5"/>
  <c r="G647" i="5"/>
  <c r="E647" i="5"/>
  <c r="G646" i="5"/>
  <c r="E646" i="5"/>
  <c r="G645" i="5"/>
  <c r="E645" i="5"/>
  <c r="G644" i="5"/>
  <c r="E644" i="5"/>
  <c r="G643" i="5"/>
  <c r="E643" i="5"/>
  <c r="G642" i="5"/>
  <c r="E642" i="5"/>
  <c r="G641" i="5"/>
  <c r="E641" i="5"/>
  <c r="G640" i="5"/>
  <c r="E640" i="5"/>
  <c r="G639" i="5"/>
  <c r="E639" i="5"/>
  <c r="G638" i="5"/>
  <c r="E638" i="5"/>
  <c r="G637" i="5"/>
  <c r="E637" i="5"/>
  <c r="G636" i="5"/>
  <c r="E636" i="5"/>
  <c r="G635" i="5"/>
  <c r="E635" i="5"/>
  <c r="G634" i="5"/>
  <c r="E634" i="5"/>
  <c r="G633" i="5"/>
  <c r="E633" i="5"/>
  <c r="G632" i="5"/>
  <c r="E632" i="5"/>
  <c r="G631" i="5"/>
  <c r="E631" i="5"/>
  <c r="G630" i="5"/>
  <c r="E630" i="5"/>
  <c r="G629" i="5"/>
  <c r="E629" i="5"/>
  <c r="G628" i="5"/>
  <c r="E628" i="5"/>
  <c r="G627" i="5"/>
  <c r="E627" i="5"/>
  <c r="G626" i="5"/>
  <c r="E626" i="5"/>
  <c r="G625" i="5"/>
  <c r="E625" i="5"/>
  <c r="G624" i="5"/>
  <c r="E624" i="5"/>
  <c r="G623" i="5"/>
  <c r="E623" i="5"/>
  <c r="G622" i="5"/>
  <c r="E622" i="5"/>
  <c r="G621" i="5"/>
  <c r="E621" i="5"/>
  <c r="G620" i="5"/>
  <c r="E620" i="5"/>
  <c r="G619" i="5"/>
  <c r="E619" i="5"/>
  <c r="G618" i="5"/>
  <c r="E618" i="5"/>
  <c r="G617" i="5"/>
  <c r="E617" i="5"/>
  <c r="G616" i="5"/>
  <c r="E616" i="5"/>
  <c r="G615" i="5"/>
  <c r="E615" i="5"/>
  <c r="G614" i="5"/>
  <c r="E614" i="5"/>
  <c r="G613" i="5"/>
  <c r="E613" i="5"/>
  <c r="G612" i="5"/>
  <c r="E612" i="5"/>
  <c r="G611" i="5"/>
  <c r="E611" i="5"/>
  <c r="G610" i="5"/>
  <c r="E610" i="5"/>
  <c r="G609" i="5"/>
  <c r="E609" i="5"/>
  <c r="G608" i="5"/>
  <c r="E608" i="5"/>
  <c r="G607" i="5"/>
  <c r="E607" i="5"/>
  <c r="G606" i="5"/>
  <c r="E606" i="5"/>
  <c r="G605" i="5"/>
  <c r="E605" i="5"/>
  <c r="G604" i="5"/>
  <c r="E604" i="5"/>
  <c r="G603" i="5"/>
  <c r="E603" i="5"/>
  <c r="G602" i="5"/>
  <c r="E602" i="5"/>
  <c r="G601" i="5"/>
  <c r="E601" i="5"/>
  <c r="G600" i="5"/>
  <c r="E600" i="5"/>
  <c r="G599" i="5"/>
  <c r="E599" i="5"/>
  <c r="G598" i="5"/>
  <c r="E598" i="5"/>
  <c r="G597" i="5"/>
  <c r="E597" i="5"/>
  <c r="G596" i="5"/>
  <c r="E596" i="5"/>
  <c r="G595" i="5"/>
  <c r="E595" i="5"/>
  <c r="G594" i="5"/>
  <c r="E594" i="5"/>
  <c r="G593" i="5"/>
  <c r="E593" i="5"/>
  <c r="G592" i="5"/>
  <c r="E592" i="5"/>
  <c r="G591" i="5"/>
  <c r="E591" i="5"/>
  <c r="G590" i="5"/>
  <c r="E590" i="5"/>
  <c r="G589" i="5"/>
  <c r="E589" i="5"/>
  <c r="G588" i="5"/>
  <c r="E588" i="5"/>
  <c r="G587" i="5"/>
  <c r="E587" i="5"/>
  <c r="G586" i="5"/>
  <c r="E586" i="5"/>
  <c r="G585" i="5"/>
  <c r="E585" i="5"/>
  <c r="G584" i="5"/>
  <c r="E584" i="5"/>
  <c r="G583" i="5"/>
  <c r="E583" i="5"/>
  <c r="G582" i="5"/>
  <c r="E582" i="5"/>
  <c r="G581" i="5"/>
  <c r="E581" i="5"/>
  <c r="G580" i="5"/>
  <c r="E580" i="5"/>
  <c r="G579" i="5"/>
  <c r="E579" i="5"/>
  <c r="G578" i="5"/>
  <c r="E578" i="5"/>
  <c r="G577" i="5"/>
  <c r="E577" i="5"/>
  <c r="G576" i="5"/>
  <c r="E576" i="5"/>
  <c r="G575" i="5"/>
  <c r="E575" i="5"/>
  <c r="G574" i="5"/>
  <c r="E574" i="5"/>
  <c r="G573" i="5"/>
  <c r="E573" i="5"/>
  <c r="G572" i="5"/>
  <c r="E572" i="5"/>
  <c r="G571" i="5"/>
  <c r="E571" i="5"/>
  <c r="G570" i="5"/>
  <c r="E570" i="5"/>
  <c r="G569" i="5"/>
  <c r="E569" i="5"/>
  <c r="G568" i="5"/>
  <c r="E568" i="5"/>
  <c r="G567" i="5"/>
  <c r="E567" i="5"/>
  <c r="G566" i="5"/>
  <c r="E566" i="5"/>
  <c r="G565" i="5"/>
  <c r="E565" i="5"/>
  <c r="G564" i="5"/>
  <c r="E564" i="5"/>
  <c r="G563" i="5"/>
  <c r="E563" i="5"/>
  <c r="G562" i="5"/>
  <c r="E562" i="5"/>
  <c r="G561" i="5"/>
  <c r="E561" i="5"/>
  <c r="G560" i="5"/>
  <c r="E560" i="5"/>
  <c r="G559" i="5"/>
  <c r="E559" i="5"/>
  <c r="G558" i="5"/>
  <c r="E558" i="5"/>
  <c r="G557" i="5"/>
  <c r="E557" i="5"/>
  <c r="G556" i="5"/>
  <c r="E556" i="5"/>
  <c r="G555" i="5"/>
  <c r="E555" i="5"/>
  <c r="G554" i="5"/>
  <c r="E554" i="5" s="1"/>
  <c r="G553" i="5"/>
  <c r="E553" i="5" s="1"/>
  <c r="G552" i="5"/>
  <c r="E552" i="5"/>
  <c r="G551" i="5"/>
  <c r="E551" i="5"/>
  <c r="G550" i="5"/>
  <c r="E550" i="5" s="1"/>
  <c r="G549" i="5"/>
  <c r="E549" i="5" s="1"/>
  <c r="G548" i="5"/>
  <c r="E548" i="5"/>
  <c r="G547" i="5"/>
  <c r="E547" i="5"/>
  <c r="G546" i="5"/>
  <c r="E546" i="5"/>
  <c r="G545" i="5"/>
  <c r="E545" i="5"/>
  <c r="G544" i="5"/>
  <c r="E544" i="5"/>
  <c r="G543" i="5"/>
  <c r="E543" i="5"/>
  <c r="G542" i="5"/>
  <c r="E542" i="5"/>
  <c r="G541" i="5"/>
  <c r="E541" i="5" s="1"/>
  <c r="G540" i="5"/>
  <c r="E540" i="5"/>
  <c r="D540" i="5"/>
  <c r="G539" i="5"/>
  <c r="E539" i="5"/>
  <c r="G538" i="5"/>
  <c r="E538" i="5"/>
  <c r="G537" i="5"/>
  <c r="E537" i="5"/>
  <c r="G536" i="5"/>
  <c r="E536" i="5"/>
  <c r="G535" i="5"/>
  <c r="E535" i="5"/>
  <c r="G534" i="5"/>
  <c r="E534" i="5"/>
  <c r="G533" i="5"/>
  <c r="E533" i="5"/>
  <c r="G532" i="5"/>
  <c r="E532" i="5"/>
  <c r="G531" i="5"/>
  <c r="E531" i="5"/>
  <c r="G530" i="5"/>
  <c r="E530" i="5"/>
  <c r="G529" i="5"/>
  <c r="E529" i="5"/>
  <c r="G528" i="5"/>
  <c r="E528" i="5"/>
  <c r="G527" i="5"/>
  <c r="E527" i="5"/>
  <c r="G526" i="5"/>
  <c r="E526" i="5"/>
  <c r="G525" i="5"/>
  <c r="E525" i="5"/>
  <c r="G524" i="5"/>
  <c r="E524" i="5"/>
  <c r="G523" i="5"/>
  <c r="E523" i="5"/>
  <c r="G522" i="5"/>
  <c r="E522" i="5"/>
  <c r="G521" i="5"/>
  <c r="E521" i="5"/>
  <c r="G520" i="5"/>
  <c r="E520" i="5"/>
  <c r="G519" i="5"/>
  <c r="E519" i="5"/>
  <c r="G518" i="5"/>
  <c r="E518" i="5"/>
  <c r="G517" i="5"/>
  <c r="E517" i="5"/>
  <c r="G516" i="5"/>
  <c r="E516" i="5"/>
  <c r="G515" i="5"/>
  <c r="E515" i="5"/>
  <c r="G514" i="5"/>
  <c r="E514" i="5"/>
  <c r="G513" i="5"/>
  <c r="E513" i="5"/>
  <c r="G512" i="5"/>
  <c r="E512" i="5"/>
  <c r="G511" i="5"/>
  <c r="E511" i="5"/>
  <c r="G510" i="5"/>
  <c r="E510" i="5"/>
  <c r="G509" i="5"/>
  <c r="E509" i="5"/>
  <c r="G508" i="5"/>
  <c r="E508" i="5"/>
  <c r="G507" i="5"/>
  <c r="E507" i="5"/>
  <c r="G506" i="5"/>
  <c r="E506" i="5"/>
  <c r="G505" i="5"/>
  <c r="E505" i="5"/>
  <c r="G504" i="5"/>
  <c r="E504" i="5"/>
  <c r="G503" i="5"/>
  <c r="E503" i="5"/>
  <c r="G502" i="5"/>
  <c r="E502" i="5"/>
  <c r="G501" i="5"/>
  <c r="E501" i="5"/>
  <c r="G500" i="5"/>
  <c r="E500" i="5"/>
  <c r="G499" i="5"/>
  <c r="E499" i="5"/>
  <c r="G498" i="5"/>
  <c r="E498" i="5"/>
  <c r="G497" i="5"/>
  <c r="E497" i="5"/>
  <c r="G496" i="5"/>
  <c r="E496" i="5"/>
  <c r="G495" i="5"/>
  <c r="E495" i="5"/>
  <c r="G494" i="5"/>
  <c r="E494" i="5"/>
  <c r="G493" i="5"/>
  <c r="E493" i="5"/>
  <c r="G492" i="5"/>
  <c r="E492" i="5"/>
  <c r="G491" i="5"/>
  <c r="E491" i="5"/>
  <c r="G490" i="5"/>
  <c r="E490" i="5"/>
  <c r="G489" i="5"/>
  <c r="E489" i="5"/>
  <c r="G488" i="5"/>
  <c r="E488" i="5"/>
  <c r="G487" i="5"/>
  <c r="E487" i="5"/>
  <c r="G486" i="5"/>
  <c r="E486" i="5"/>
  <c r="G485" i="5"/>
  <c r="E485" i="5"/>
  <c r="G484" i="5"/>
  <c r="E484" i="5"/>
  <c r="G483" i="5"/>
  <c r="E483" i="5"/>
  <c r="G482" i="5"/>
  <c r="E482" i="5"/>
  <c r="G481" i="5"/>
  <c r="E481" i="5"/>
  <c r="G480" i="5"/>
  <c r="E480" i="5"/>
  <c r="G479" i="5"/>
  <c r="E479" i="5"/>
  <c r="G478" i="5"/>
  <c r="E478" i="5"/>
  <c r="G477" i="5"/>
  <c r="E477" i="5"/>
  <c r="G476" i="5"/>
  <c r="E476" i="5"/>
  <c r="G475" i="5"/>
  <c r="E475" i="5"/>
  <c r="G474" i="5"/>
  <c r="E474" i="5"/>
  <c r="G473" i="5"/>
  <c r="E473" i="5"/>
  <c r="G472" i="5"/>
  <c r="E472" i="5"/>
  <c r="G471" i="5"/>
  <c r="E471" i="5"/>
  <c r="G470" i="5"/>
  <c r="E470" i="5"/>
  <c r="G469" i="5"/>
  <c r="E469" i="5"/>
  <c r="G468" i="5"/>
  <c r="E468" i="5"/>
  <c r="G467" i="5"/>
  <c r="E467" i="5"/>
  <c r="G466" i="5"/>
  <c r="E466" i="5"/>
  <c r="G465" i="5"/>
  <c r="E465" i="5"/>
  <c r="G464" i="5"/>
  <c r="E464" i="5"/>
  <c r="G463" i="5"/>
  <c r="E463" i="5"/>
  <c r="G462" i="5"/>
  <c r="E462" i="5"/>
  <c r="G461" i="5"/>
  <c r="E461" i="5"/>
  <c r="G460" i="5"/>
  <c r="E460" i="5"/>
  <c r="G459" i="5"/>
  <c r="E459" i="5"/>
  <c r="G458" i="5"/>
  <c r="E458" i="5"/>
  <c r="G457" i="5"/>
  <c r="E457" i="5"/>
  <c r="G456" i="5"/>
  <c r="E456" i="5"/>
  <c r="G455" i="5"/>
  <c r="E455" i="5"/>
  <c r="G454" i="5"/>
  <c r="E454" i="5"/>
  <c r="G453" i="5"/>
  <c r="E453" i="5"/>
  <c r="G452" i="5"/>
  <c r="E452" i="5"/>
  <c r="G451" i="5"/>
  <c r="E451" i="5"/>
  <c r="G450" i="5"/>
  <c r="E450" i="5"/>
  <c r="G449" i="5"/>
  <c r="E449" i="5"/>
  <c r="G448" i="5"/>
  <c r="E448" i="5"/>
  <c r="G447" i="5"/>
  <c r="E447" i="5"/>
  <c r="G446" i="5"/>
  <c r="E446" i="5"/>
  <c r="G445" i="5"/>
  <c r="E445" i="5"/>
  <c r="G444" i="5"/>
  <c r="E444" i="5"/>
  <c r="G443" i="5"/>
  <c r="E443" i="5"/>
  <c r="G442" i="5"/>
  <c r="E442" i="5"/>
  <c r="G441" i="5"/>
  <c r="E441" i="5"/>
  <c r="G440" i="5"/>
  <c r="E440" i="5"/>
  <c r="G439" i="5"/>
  <c r="E439" i="5"/>
  <c r="G438" i="5"/>
  <c r="E438" i="5"/>
  <c r="G437" i="5"/>
  <c r="E437" i="5"/>
  <c r="G436" i="5"/>
  <c r="E436" i="5"/>
  <c r="G435" i="5"/>
  <c r="E435" i="5"/>
  <c r="G434" i="5"/>
  <c r="E434" i="5"/>
  <c r="G433" i="5"/>
  <c r="E433" i="5"/>
  <c r="G432" i="5"/>
  <c r="E432" i="5"/>
  <c r="G431" i="5"/>
  <c r="E431" i="5"/>
  <c r="G430" i="5"/>
  <c r="E430" i="5"/>
  <c r="G429" i="5"/>
  <c r="E429" i="5"/>
  <c r="G428" i="5"/>
  <c r="E428" i="5"/>
  <c r="G427" i="5"/>
  <c r="E427" i="5"/>
  <c r="G426" i="5"/>
  <c r="E426" i="5"/>
  <c r="G425" i="5"/>
  <c r="E425" i="5"/>
  <c r="G424" i="5"/>
  <c r="E424" i="5"/>
  <c r="G423" i="5"/>
  <c r="E423" i="5"/>
  <c r="G422" i="5"/>
  <c r="E422" i="5"/>
  <c r="G421" i="5"/>
  <c r="E421" i="5"/>
  <c r="G420" i="5"/>
  <c r="E420" i="5" s="1"/>
  <c r="G419" i="5"/>
  <c r="E419" i="5"/>
  <c r="G418" i="5"/>
  <c r="E418" i="5"/>
  <c r="G417" i="5"/>
  <c r="E417" i="5"/>
  <c r="G416" i="5"/>
  <c r="E416" i="5" s="1"/>
  <c r="G415" i="5"/>
  <c r="E415" i="5"/>
  <c r="G414" i="5"/>
  <c r="E414" i="5"/>
  <c r="D413" i="5"/>
  <c r="G413" i="5" s="1"/>
  <c r="G412" i="5"/>
  <c r="E412" i="5"/>
  <c r="G411" i="5"/>
  <c r="E411" i="5" s="1"/>
  <c r="G410" i="5"/>
  <c r="E410" i="5" s="1"/>
  <c r="G409" i="5"/>
  <c r="E409" i="5"/>
  <c r="G408" i="5"/>
  <c r="E408" i="5"/>
  <c r="G407" i="5"/>
  <c r="E407" i="5" s="1"/>
  <c r="G406" i="5"/>
  <c r="E406" i="5" s="1"/>
  <c r="G405" i="5"/>
  <c r="E405" i="5"/>
  <c r="G404" i="5"/>
  <c r="E404" i="5"/>
  <c r="G403" i="5"/>
  <c r="E403" i="5" s="1"/>
  <c r="G402" i="5"/>
  <c r="E402" i="5" s="1"/>
  <c r="G401" i="5"/>
  <c r="E401" i="5"/>
  <c r="G400" i="5"/>
  <c r="E400" i="5"/>
  <c r="G399" i="5"/>
  <c r="E399" i="5" s="1"/>
  <c r="G398" i="5"/>
  <c r="E398" i="5" s="1"/>
  <c r="G397" i="5"/>
  <c r="E397" i="5"/>
  <c r="G396" i="5"/>
  <c r="E396" i="5"/>
  <c r="G395" i="5"/>
  <c r="E395" i="5" s="1"/>
  <c r="G394" i="5"/>
  <c r="E394" i="5"/>
  <c r="G393" i="5"/>
  <c r="E393" i="5"/>
  <c r="G392" i="5"/>
  <c r="E392" i="5"/>
  <c r="G391" i="5"/>
  <c r="E391" i="5" s="1"/>
  <c r="G390" i="5"/>
  <c r="E390" i="5"/>
  <c r="G389" i="5"/>
  <c r="E389" i="5"/>
  <c r="G388" i="5"/>
  <c r="E388" i="5"/>
  <c r="G387" i="5"/>
  <c r="E387" i="5" s="1"/>
  <c r="G386" i="5"/>
  <c r="E386" i="5"/>
  <c r="G385" i="5"/>
  <c r="E385" i="5"/>
  <c r="G384" i="5"/>
  <c r="E384" i="5"/>
  <c r="G383" i="5"/>
  <c r="E383" i="5" s="1"/>
  <c r="G382" i="5"/>
  <c r="E382" i="5"/>
  <c r="G381" i="5"/>
  <c r="E381" i="5"/>
  <c r="G380" i="5"/>
  <c r="E380" i="5"/>
  <c r="G379" i="5"/>
  <c r="E379" i="5" s="1"/>
  <c r="G378" i="5"/>
  <c r="E378" i="5"/>
  <c r="G377" i="5"/>
  <c r="E377" i="5"/>
  <c r="G376" i="5"/>
  <c r="E376" i="5"/>
  <c r="G375" i="5"/>
  <c r="E375" i="5" s="1"/>
  <c r="G374" i="5"/>
  <c r="E374" i="5"/>
  <c r="G373" i="5"/>
  <c r="E373" i="5"/>
  <c r="G372" i="5"/>
  <c r="E372" i="5"/>
  <c r="G371" i="5"/>
  <c r="E371" i="5" s="1"/>
  <c r="G370" i="5"/>
  <c r="E370" i="5"/>
  <c r="G369" i="5"/>
  <c r="E369" i="5"/>
  <c r="G368" i="5"/>
  <c r="E368" i="5"/>
  <c r="G367" i="5"/>
  <c r="E367" i="5" s="1"/>
  <c r="G366" i="5"/>
  <c r="E366" i="5"/>
  <c r="G365" i="5"/>
  <c r="E365" i="5"/>
  <c r="G364" i="5"/>
  <c r="E364" i="5"/>
  <c r="G363" i="5"/>
  <c r="E363" i="5" s="1"/>
  <c r="G362" i="5"/>
  <c r="E362" i="5"/>
  <c r="G361" i="5"/>
  <c r="E361" i="5"/>
  <c r="G360" i="5"/>
  <c r="E360" i="5"/>
  <c r="G359" i="5"/>
  <c r="E359" i="5" s="1"/>
  <c r="G358" i="5"/>
  <c r="E358" i="5"/>
  <c r="G357" i="5"/>
  <c r="E357" i="5"/>
  <c r="G356" i="5"/>
  <c r="E356" i="5"/>
  <c r="G355" i="5"/>
  <c r="E355" i="5" s="1"/>
  <c r="G354" i="5"/>
  <c r="E354" i="5"/>
  <c r="G353" i="5"/>
  <c r="E353" i="5"/>
  <c r="G352" i="5"/>
  <c r="E352" i="5"/>
  <c r="G351" i="5"/>
  <c r="E351" i="5" s="1"/>
  <c r="D351" i="5"/>
  <c r="G350" i="5"/>
  <c r="E350" i="5"/>
  <c r="G349" i="5"/>
  <c r="E349" i="5" s="1"/>
  <c r="G348" i="5"/>
  <c r="E348" i="5"/>
  <c r="G347" i="5"/>
  <c r="E347" i="5" s="1"/>
  <c r="G346" i="5"/>
  <c r="E346" i="5"/>
  <c r="G345" i="5"/>
  <c r="E345" i="5"/>
  <c r="G344" i="5"/>
  <c r="E344" i="5"/>
  <c r="G343" i="5"/>
  <c r="E343" i="5"/>
  <c r="G342" i="5"/>
  <c r="E342" i="5"/>
  <c r="G341" i="5"/>
  <c r="E341" i="5"/>
  <c r="G340" i="5"/>
  <c r="E340" i="5"/>
  <c r="G339" i="5"/>
  <c r="E339" i="5"/>
  <c r="G338" i="5"/>
  <c r="E338" i="5"/>
  <c r="G337" i="5"/>
  <c r="E337" i="5"/>
  <c r="G336" i="5"/>
  <c r="E336" i="5"/>
  <c r="G335" i="5"/>
  <c r="E335" i="5"/>
  <c r="G334" i="5"/>
  <c r="E334" i="5"/>
  <c r="G333" i="5"/>
  <c r="E333" i="5"/>
  <c r="G332" i="5"/>
  <c r="E332" i="5"/>
  <c r="G331" i="5"/>
  <c r="E331" i="5"/>
  <c r="G330" i="5"/>
  <c r="E330" i="5"/>
  <c r="G329" i="5"/>
  <c r="E329" i="5"/>
  <c r="G328" i="5"/>
  <c r="E328" i="5"/>
  <c r="G327" i="5"/>
  <c r="E327" i="5"/>
  <c r="G326" i="5"/>
  <c r="E326" i="5"/>
  <c r="G325" i="5"/>
  <c r="E325" i="5"/>
  <c r="G324" i="5"/>
  <c r="E324" i="5"/>
  <c r="G323" i="5"/>
  <c r="E323" i="5"/>
  <c r="G322" i="5"/>
  <c r="E322" i="5"/>
  <c r="G321" i="5"/>
  <c r="E321" i="5"/>
  <c r="G320" i="5"/>
  <c r="E320" i="5"/>
  <c r="G319" i="5"/>
  <c r="E319" i="5"/>
  <c r="G318" i="5"/>
  <c r="E318" i="5"/>
  <c r="G317" i="5"/>
  <c r="E317" i="5"/>
  <c r="G316" i="5"/>
  <c r="E316" i="5"/>
  <c r="G315" i="5"/>
  <c r="E315" i="5"/>
  <c r="G314" i="5"/>
  <c r="E314" i="5"/>
  <c r="G313" i="5"/>
  <c r="E313" i="5"/>
  <c r="G312" i="5"/>
  <c r="E312" i="5"/>
  <c r="G311" i="5"/>
  <c r="E311" i="5"/>
  <c r="G310" i="5"/>
  <c r="E310" i="5"/>
  <c r="G309" i="5"/>
  <c r="E309" i="5"/>
  <c r="G308" i="5"/>
  <c r="E308" i="5"/>
  <c r="G307" i="5"/>
  <c r="E307" i="5"/>
  <c r="G306" i="5"/>
  <c r="E306" i="5"/>
  <c r="G305" i="5"/>
  <c r="E305" i="5"/>
  <c r="G304" i="5"/>
  <c r="E304" i="5"/>
  <c r="G303" i="5"/>
  <c r="E303" i="5"/>
  <c r="G302" i="5"/>
  <c r="E302" i="5"/>
  <c r="G301" i="5"/>
  <c r="E301" i="5"/>
  <c r="G300" i="5"/>
  <c r="E300" i="5"/>
  <c r="G299" i="5"/>
  <c r="E299" i="5" s="1"/>
  <c r="G298" i="5"/>
  <c r="E298" i="5"/>
  <c r="G297" i="5"/>
  <c r="E297" i="5" s="1"/>
  <c r="G296" i="5"/>
  <c r="E296" i="5"/>
  <c r="D296" i="5"/>
  <c r="D295" i="5"/>
  <c r="G295" i="5" s="1"/>
  <c r="G294" i="5"/>
  <c r="D294" i="5"/>
  <c r="E294" i="5" s="1"/>
  <c r="G293" i="5"/>
  <c r="E293" i="5" s="1"/>
  <c r="D293" i="5"/>
  <c r="D292" i="5"/>
  <c r="G292" i="5" s="1"/>
  <c r="G291" i="5"/>
  <c r="E291" i="5"/>
  <c r="G290" i="5"/>
  <c r="E290" i="5"/>
  <c r="G289" i="5"/>
  <c r="E289" i="5"/>
  <c r="G288" i="5"/>
  <c r="E288" i="5"/>
  <c r="G287" i="5"/>
  <c r="E287" i="5"/>
  <c r="G286" i="5"/>
  <c r="E286" i="5"/>
  <c r="G285" i="5"/>
  <c r="E285" i="5"/>
  <c r="G284" i="5"/>
  <c r="E284" i="5"/>
  <c r="G283" i="5"/>
  <c r="E283" i="5"/>
  <c r="G282" i="5"/>
  <c r="E282" i="5"/>
  <c r="G281" i="5"/>
  <c r="E281" i="5"/>
  <c r="G280" i="5"/>
  <c r="E280" i="5"/>
  <c r="G279" i="5"/>
  <c r="E279" i="5"/>
  <c r="G278" i="5"/>
  <c r="E278" i="5"/>
  <c r="G277" i="5"/>
  <c r="E277" i="5"/>
  <c r="G276" i="5"/>
  <c r="E276" i="5"/>
  <c r="G275" i="5"/>
  <c r="E275" i="5"/>
  <c r="G274" i="5"/>
  <c r="E274" i="5"/>
  <c r="G273" i="5"/>
  <c r="E273" i="5"/>
  <c r="G272" i="5"/>
  <c r="E272" i="5"/>
  <c r="G271" i="5"/>
  <c r="E271" i="5"/>
  <c r="G270" i="5"/>
  <c r="E270" i="5" s="1"/>
  <c r="G269" i="5"/>
  <c r="E269" i="5"/>
  <c r="G268" i="5"/>
  <c r="E268" i="5"/>
  <c r="G267" i="5"/>
  <c r="E267" i="5"/>
  <c r="G266" i="5"/>
  <c r="E266" i="5" s="1"/>
  <c r="G265" i="5"/>
  <c r="E265" i="5"/>
  <c r="G264" i="5"/>
  <c r="E264" i="5"/>
  <c r="G263" i="5"/>
  <c r="E263" i="5"/>
  <c r="G262" i="5"/>
  <c r="E262" i="5" s="1"/>
  <c r="G261" i="5"/>
  <c r="E261" i="5"/>
  <c r="G260" i="5"/>
  <c r="E260" i="5"/>
  <c r="G259" i="5"/>
  <c r="E259" i="5"/>
  <c r="G258" i="5"/>
  <c r="E258" i="5" s="1"/>
  <c r="G257" i="5"/>
  <c r="E257" i="5"/>
  <c r="G256" i="5"/>
  <c r="E256" i="5"/>
  <c r="G255" i="5"/>
  <c r="E255" i="5"/>
  <c r="G254" i="5"/>
  <c r="E254" i="5" s="1"/>
  <c r="G253" i="5"/>
  <c r="E253" i="5"/>
  <c r="G252" i="5"/>
  <c r="E252" i="5"/>
  <c r="G251" i="5"/>
  <c r="E251" i="5"/>
  <c r="G250" i="5"/>
  <c r="E250" i="5" s="1"/>
  <c r="G249" i="5"/>
  <c r="E249" i="5"/>
  <c r="G248" i="5"/>
  <c r="E248" i="5"/>
  <c r="G247" i="5"/>
  <c r="E247" i="5"/>
  <c r="G246" i="5"/>
  <c r="E246" i="5" s="1"/>
  <c r="G245" i="5"/>
  <c r="E245" i="5"/>
  <c r="G244" i="5"/>
  <c r="E244" i="5"/>
  <c r="G243" i="5"/>
  <c r="E243" i="5"/>
  <c r="G242" i="5"/>
  <c r="E242" i="5" s="1"/>
  <c r="G241" i="5"/>
  <c r="E241" i="5"/>
  <c r="G240" i="5"/>
  <c r="E240" i="5"/>
  <c r="G239" i="5"/>
  <c r="E239" i="5"/>
  <c r="G238" i="5"/>
  <c r="E238" i="5" s="1"/>
  <c r="G237" i="5"/>
  <c r="E237" i="5"/>
  <c r="G236" i="5"/>
  <c r="E236" i="5"/>
  <c r="G235" i="5"/>
  <c r="E235" i="5"/>
  <c r="G234" i="5"/>
  <c r="E234" i="5" s="1"/>
  <c r="G233" i="5"/>
  <c r="E233" i="5"/>
  <c r="G232" i="5"/>
  <c r="E232" i="5"/>
  <c r="D232" i="5"/>
  <c r="G231" i="5"/>
  <c r="E231" i="5"/>
  <c r="G230" i="5"/>
  <c r="E230" i="5" s="1"/>
  <c r="G229" i="5"/>
  <c r="E229" i="5"/>
  <c r="G228" i="5"/>
  <c r="D228" i="5"/>
  <c r="E228" i="5" s="1"/>
  <c r="G227" i="5"/>
  <c r="E227" i="5"/>
  <c r="G226" i="5"/>
  <c r="E226" i="5"/>
  <c r="G225" i="5"/>
  <c r="E225" i="5"/>
  <c r="G224" i="5"/>
  <c r="E224" i="5"/>
  <c r="G223" i="5"/>
  <c r="E223" i="5"/>
  <c r="G222" i="5"/>
  <c r="E222" i="5"/>
  <c r="G221" i="5"/>
  <c r="E221" i="5"/>
  <c r="G220" i="5"/>
  <c r="E220" i="5"/>
  <c r="G219" i="5"/>
  <c r="E219" i="5"/>
  <c r="G218" i="5"/>
  <c r="E218" i="5"/>
  <c r="G217" i="5"/>
  <c r="E217" i="5"/>
  <c r="G216" i="5"/>
  <c r="E216" i="5"/>
  <c r="G215" i="5"/>
  <c r="E215" i="5"/>
  <c r="G214" i="5"/>
  <c r="E214" i="5"/>
  <c r="G213" i="5"/>
  <c r="E213" i="5"/>
  <c r="G212" i="5"/>
  <c r="E212" i="5"/>
  <c r="G211" i="5"/>
  <c r="E211" i="5"/>
  <c r="G210" i="5"/>
  <c r="E210" i="5"/>
  <c r="G209" i="5"/>
  <c r="E209" i="5"/>
  <c r="G208" i="5"/>
  <c r="E208" i="5"/>
  <c r="G207" i="5"/>
  <c r="E207" i="5"/>
  <c r="G206" i="5"/>
  <c r="E206" i="5"/>
  <c r="G205" i="5"/>
  <c r="E205" i="5"/>
  <c r="G204" i="5"/>
  <c r="E204" i="5"/>
  <c r="G203" i="5"/>
  <c r="E203" i="5"/>
  <c r="G202" i="5"/>
  <c r="E202" i="5"/>
  <c r="G201" i="5"/>
  <c r="E201" i="5"/>
  <c r="G200" i="5"/>
  <c r="E200" i="5"/>
  <c r="G199" i="5"/>
  <c r="E199" i="5"/>
  <c r="G198" i="5"/>
  <c r="E198" i="5"/>
  <c r="G197" i="5"/>
  <c r="E197" i="5"/>
  <c r="G196" i="5"/>
  <c r="E196" i="5"/>
  <c r="G195" i="5"/>
  <c r="E195" i="5"/>
  <c r="G194" i="5"/>
  <c r="E194" i="5"/>
  <c r="G193" i="5"/>
  <c r="E193" i="5"/>
  <c r="G192" i="5"/>
  <c r="E192" i="5"/>
  <c r="G191" i="5"/>
  <c r="E191" i="5" s="1"/>
  <c r="G190" i="5"/>
  <c r="E190" i="5"/>
  <c r="G189" i="5"/>
  <c r="E189" i="5"/>
  <c r="G188" i="5"/>
  <c r="E188" i="5"/>
  <c r="G187" i="5"/>
  <c r="E187" i="5"/>
  <c r="G186" i="5"/>
  <c r="E186" i="5"/>
  <c r="G185" i="5"/>
  <c r="E185" i="5"/>
  <c r="G184" i="5"/>
  <c r="E184" i="5"/>
  <c r="G183" i="5"/>
  <c r="E183" i="5"/>
  <c r="G182" i="5"/>
  <c r="E182" i="5"/>
  <c r="G181" i="5"/>
  <c r="E181" i="5"/>
  <c r="G180" i="5"/>
  <c r="E180" i="5"/>
  <c r="G179" i="5"/>
  <c r="E179" i="5"/>
  <c r="G178" i="5"/>
  <c r="E178" i="5"/>
  <c r="G177" i="5"/>
  <c r="E177" i="5"/>
  <c r="G176" i="5"/>
  <c r="E176" i="5"/>
  <c r="G175" i="5"/>
  <c r="E175" i="5"/>
  <c r="G174" i="5"/>
  <c r="E174" i="5"/>
  <c r="G173" i="5"/>
  <c r="E173" i="5"/>
  <c r="G172" i="5"/>
  <c r="E172" i="5"/>
  <c r="G171" i="5"/>
  <c r="E171" i="5"/>
  <c r="G170" i="5"/>
  <c r="E170" i="5"/>
  <c r="G169" i="5"/>
  <c r="E169" i="5"/>
  <c r="G168" i="5"/>
  <c r="E168" i="5"/>
  <c r="G167" i="5"/>
  <c r="E167" i="5"/>
  <c r="G166" i="5"/>
  <c r="E166" i="5"/>
  <c r="G165" i="5"/>
  <c r="E165" i="5"/>
  <c r="G164" i="5"/>
  <c r="E164" i="5"/>
  <c r="G163" i="5"/>
  <c r="E163" i="5"/>
  <c r="G162" i="5"/>
  <c r="E162" i="5"/>
  <c r="G161" i="5"/>
  <c r="E161" i="5"/>
  <c r="G160" i="5"/>
  <c r="E160" i="5"/>
  <c r="G159" i="5"/>
  <c r="E159" i="5"/>
  <c r="G158" i="5"/>
  <c r="E158" i="5"/>
  <c r="G157" i="5"/>
  <c r="E157" i="5"/>
  <c r="G156" i="5"/>
  <c r="E156" i="5"/>
  <c r="G155" i="5"/>
  <c r="E155" i="5"/>
  <c r="G154" i="5"/>
  <c r="E154" i="5"/>
  <c r="G153" i="5"/>
  <c r="E153" i="5"/>
  <c r="G152" i="5"/>
  <c r="E152" i="5"/>
  <c r="G151" i="5"/>
  <c r="E151" i="5"/>
  <c r="G150" i="5"/>
  <c r="E150" i="5"/>
  <c r="G149" i="5"/>
  <c r="E149" i="5"/>
  <c r="G148" i="5"/>
  <c r="E148" i="5"/>
  <c r="G147" i="5"/>
  <c r="E147" i="5"/>
  <c r="G146" i="5"/>
  <c r="E146" i="5"/>
  <c r="G145" i="5"/>
  <c r="E145" i="5"/>
  <c r="G144" i="5"/>
  <c r="E144" i="5"/>
  <c r="G143" i="5"/>
  <c r="E143" i="5" s="1"/>
  <c r="G142" i="5"/>
  <c r="E142" i="5"/>
  <c r="G141" i="5"/>
  <c r="E141" i="5"/>
  <c r="G140" i="5"/>
  <c r="E140" i="5"/>
  <c r="G139" i="5"/>
  <c r="E139" i="5" s="1"/>
  <c r="G138" i="5"/>
  <c r="E138" i="5"/>
  <c r="G137" i="5"/>
  <c r="E137" i="5"/>
  <c r="G136" i="5"/>
  <c r="E136" i="5"/>
  <c r="G135" i="5"/>
  <c r="E135" i="5" s="1"/>
  <c r="G134" i="5"/>
  <c r="E134" i="5"/>
  <c r="G133" i="5"/>
  <c r="E133" i="5"/>
  <c r="G132" i="5"/>
  <c r="E132" i="5"/>
  <c r="G131" i="5"/>
  <c r="E131" i="5"/>
  <c r="G130" i="5"/>
  <c r="E130" i="5"/>
  <c r="G129" i="5"/>
  <c r="E129" i="5"/>
  <c r="G128" i="5"/>
  <c r="E128" i="5"/>
  <c r="G127" i="5"/>
  <c r="E127" i="5"/>
  <c r="G126" i="5"/>
  <c r="E126" i="5"/>
  <c r="G125" i="5"/>
  <c r="E125" i="5"/>
  <c r="G124" i="5"/>
  <c r="E124" i="5"/>
  <c r="G123" i="5"/>
  <c r="E123" i="5"/>
  <c r="G122" i="5"/>
  <c r="E122" i="5"/>
  <c r="G121" i="5"/>
  <c r="E121" i="5"/>
  <c r="G120" i="5"/>
  <c r="E120" i="5"/>
  <c r="G119" i="5"/>
  <c r="E119" i="5"/>
  <c r="G118" i="5"/>
  <c r="E118" i="5"/>
  <c r="G117" i="5"/>
  <c r="E117" i="5"/>
  <c r="G116" i="5"/>
  <c r="E116" i="5"/>
  <c r="G115" i="5"/>
  <c r="E115" i="5"/>
  <c r="G114" i="5"/>
  <c r="E114" i="5"/>
  <c r="G113" i="5"/>
  <c r="E113" i="5"/>
  <c r="G112" i="5"/>
  <c r="E112" i="5"/>
  <c r="G111" i="5"/>
  <c r="E111" i="5"/>
  <c r="G110" i="5"/>
  <c r="E110" i="5"/>
  <c r="G109" i="5"/>
  <c r="E109" i="5"/>
  <c r="G108" i="5"/>
  <c r="E108" i="5"/>
  <c r="G107" i="5"/>
  <c r="E107" i="5" s="1"/>
  <c r="G106" i="5"/>
  <c r="E106" i="5"/>
  <c r="G105" i="5"/>
  <c r="E105" i="5"/>
  <c r="G104" i="5"/>
  <c r="E104" i="5"/>
  <c r="G103" i="5"/>
  <c r="E103" i="5" s="1"/>
  <c r="G102" i="5"/>
  <c r="E102" i="5"/>
  <c r="G101" i="5"/>
  <c r="E101" i="5"/>
  <c r="G100" i="5"/>
  <c r="E100" i="5"/>
  <c r="G99" i="5"/>
  <c r="E99" i="5" s="1"/>
  <c r="G98" i="5"/>
  <c r="E98" i="5"/>
  <c r="G97" i="5"/>
  <c r="E97" i="5"/>
  <c r="G96" i="5"/>
  <c r="E96" i="5"/>
  <c r="G95" i="5"/>
  <c r="E95" i="5" s="1"/>
  <c r="G94" i="5"/>
  <c r="E94" i="5"/>
  <c r="G93" i="5"/>
  <c r="E93" i="5"/>
  <c r="G92" i="5"/>
  <c r="E92" i="5"/>
  <c r="G91" i="5"/>
  <c r="E91" i="5" s="1"/>
  <c r="G90" i="5"/>
  <c r="E90" i="5"/>
  <c r="G89" i="5"/>
  <c r="E89" i="5"/>
  <c r="G88" i="5"/>
  <c r="E88" i="5"/>
  <c r="G87" i="5"/>
  <c r="E87" i="5" s="1"/>
  <c r="G86" i="5"/>
  <c r="E86" i="5"/>
  <c r="G85" i="5"/>
  <c r="E85" i="5"/>
  <c r="G84" i="5"/>
  <c r="E84" i="5"/>
  <c r="G83" i="5"/>
  <c r="E83" i="5" s="1"/>
  <c r="G82" i="5"/>
  <c r="E82" i="5"/>
  <c r="G81" i="5"/>
  <c r="E81" i="5"/>
  <c r="G80" i="5"/>
  <c r="E80" i="5"/>
  <c r="G79" i="5"/>
  <c r="E79" i="5" s="1"/>
  <c r="G78" i="5"/>
  <c r="E78" i="5"/>
  <c r="G77" i="5"/>
  <c r="E77" i="5"/>
  <c r="G76" i="5"/>
  <c r="E76" i="5"/>
  <c r="G75" i="5"/>
  <c r="E75" i="5" s="1"/>
  <c r="G74" i="5"/>
  <c r="E74" i="5"/>
  <c r="G73" i="5"/>
  <c r="E73" i="5"/>
  <c r="G72" i="5"/>
  <c r="E72" i="5"/>
  <c r="G71" i="5"/>
  <c r="E71" i="5" s="1"/>
  <c r="G70" i="5"/>
  <c r="E70" i="5"/>
  <c r="G69" i="5"/>
  <c r="E69" i="5"/>
  <c r="G68" i="5"/>
  <c r="E68" i="5"/>
  <c r="G67" i="5"/>
  <c r="E67" i="5" s="1"/>
  <c r="G66" i="5"/>
  <c r="E66" i="5"/>
  <c r="G65" i="5"/>
  <c r="E65" i="5"/>
  <c r="G64" i="5"/>
  <c r="E64" i="5"/>
  <c r="G63" i="5"/>
  <c r="E63" i="5"/>
  <c r="G62" i="5"/>
  <c r="E62" i="5"/>
  <c r="G61" i="5"/>
  <c r="E61" i="5"/>
  <c r="G60" i="5"/>
  <c r="E60" i="5"/>
  <c r="G59" i="5"/>
  <c r="E59" i="5"/>
  <c r="G58" i="5"/>
  <c r="E58" i="5"/>
  <c r="G57" i="5"/>
  <c r="E57" i="5"/>
  <c r="G56" i="5"/>
  <c r="E56" i="5"/>
  <c r="G55" i="5"/>
  <c r="E55" i="5"/>
  <c r="G54" i="5"/>
  <c r="E54" i="5"/>
  <c r="G53" i="5"/>
  <c r="E53" i="5"/>
  <c r="G52" i="5"/>
  <c r="E52" i="5"/>
  <c r="G51" i="5"/>
  <c r="E51" i="5" s="1"/>
  <c r="G50" i="5"/>
  <c r="E50" i="5"/>
  <c r="G49" i="5"/>
  <c r="E49" i="5"/>
  <c r="G48" i="5"/>
  <c r="E48" i="5"/>
  <c r="G47" i="5"/>
  <c r="E47" i="5" s="1"/>
  <c r="G46" i="5"/>
  <c r="E46" i="5"/>
  <c r="G45" i="5"/>
  <c r="E45" i="5"/>
  <c r="G44" i="5"/>
  <c r="E44" i="5"/>
  <c r="G43" i="5"/>
  <c r="E43" i="5" s="1"/>
  <c r="G42" i="5"/>
  <c r="E42" i="5"/>
  <c r="G41" i="5"/>
  <c r="E41" i="5"/>
  <c r="G40" i="5"/>
  <c r="E40" i="5"/>
  <c r="G39" i="5"/>
  <c r="E39" i="5" s="1"/>
  <c r="G38" i="5"/>
  <c r="E38" i="5"/>
  <c r="G37" i="5"/>
  <c r="E37" i="5"/>
  <c r="G36" i="5"/>
  <c r="E36" i="5"/>
  <c r="G35" i="5"/>
  <c r="E35" i="5"/>
  <c r="G34" i="5"/>
  <c r="E34" i="5"/>
  <c r="G33" i="5"/>
  <c r="E33" i="5"/>
  <c r="G32" i="5"/>
  <c r="E32" i="5"/>
  <c r="G31" i="5"/>
  <c r="E31" i="5" s="1"/>
  <c r="G30" i="5"/>
  <c r="E30" i="5"/>
  <c r="G29" i="5"/>
  <c r="E29" i="5"/>
  <c r="G28" i="5"/>
  <c r="E28" i="5"/>
  <c r="G27" i="5"/>
  <c r="E27" i="5" s="1"/>
  <c r="G26" i="5"/>
  <c r="E26" i="5"/>
  <c r="G25" i="5"/>
  <c r="E25" i="5"/>
  <c r="G24" i="5"/>
  <c r="E24" i="5"/>
  <c r="G23" i="5"/>
  <c r="E23" i="5" s="1"/>
  <c r="G22" i="5"/>
  <c r="E22" i="5"/>
  <c r="G21" i="5"/>
  <c r="E21" i="5"/>
  <c r="G20" i="5"/>
  <c r="E20" i="5"/>
  <c r="G19" i="5"/>
  <c r="E19" i="5" s="1"/>
  <c r="G18" i="5"/>
  <c r="E18" i="5"/>
  <c r="G17" i="5"/>
  <c r="E17" i="5"/>
  <c r="G16" i="5"/>
  <c r="E16" i="5"/>
  <c r="G15" i="5"/>
  <c r="E15" i="5" s="1"/>
  <c r="G14" i="5"/>
  <c r="E14" i="5"/>
  <c r="G13" i="5"/>
  <c r="E13" i="5"/>
  <c r="G12" i="5"/>
  <c r="E12" i="5"/>
  <c r="G11" i="5"/>
  <c r="E11" i="5" s="1"/>
  <c r="G10" i="5"/>
  <c r="E10" i="5"/>
  <c r="G9" i="5"/>
  <c r="E9" i="5"/>
  <c r="G8" i="5"/>
  <c r="E8" i="5"/>
  <c r="G7" i="5"/>
  <c r="E7" i="5" s="1"/>
  <c r="G6" i="5"/>
  <c r="E6" i="5"/>
  <c r="G5" i="5"/>
  <c r="E5" i="5"/>
  <c r="G4" i="5"/>
  <c r="E4" i="5"/>
  <c r="G3" i="5"/>
  <c r="G916" i="5" s="1"/>
  <c r="D133" i="4"/>
  <c r="G132" i="4"/>
  <c r="E132" i="4"/>
  <c r="G131" i="4"/>
  <c r="E131" i="4"/>
  <c r="G130" i="4"/>
  <c r="E130" i="4"/>
  <c r="G129" i="4"/>
  <c r="E129" i="4"/>
  <c r="G128" i="4"/>
  <c r="E128" i="4"/>
  <c r="G127" i="4"/>
  <c r="E127" i="4"/>
  <c r="G126" i="4"/>
  <c r="E126" i="4"/>
  <c r="G125" i="4"/>
  <c r="E125" i="4"/>
  <c r="G124" i="4"/>
  <c r="E124" i="4"/>
  <c r="G123" i="4"/>
  <c r="E123" i="4"/>
  <c r="G122" i="4"/>
  <c r="E122" i="4"/>
  <c r="G121" i="4"/>
  <c r="E121" i="4"/>
  <c r="G120" i="4"/>
  <c r="E120" i="4"/>
  <c r="G119" i="4"/>
  <c r="E119" i="4"/>
  <c r="G118" i="4"/>
  <c r="E118" i="4"/>
  <c r="G117" i="4"/>
  <c r="E117" i="4"/>
  <c r="G116" i="4"/>
  <c r="E116" i="4"/>
  <c r="G115" i="4"/>
  <c r="E115" i="4"/>
  <c r="G114" i="4"/>
  <c r="E114" i="4"/>
  <c r="G113" i="4"/>
  <c r="E113" i="4"/>
  <c r="G112" i="4"/>
  <c r="E112" i="4"/>
  <c r="G111" i="4"/>
  <c r="E111" i="4"/>
  <c r="G110" i="4"/>
  <c r="E110" i="4"/>
  <c r="G109" i="4"/>
  <c r="E109" i="4"/>
  <c r="G108" i="4"/>
  <c r="E108" i="4"/>
  <c r="G107" i="4"/>
  <c r="E107" i="4"/>
  <c r="G106" i="4"/>
  <c r="E106" i="4"/>
  <c r="G105" i="4"/>
  <c r="E105" i="4"/>
  <c r="G104" i="4"/>
  <c r="E104" i="4"/>
  <c r="G103" i="4"/>
  <c r="E103" i="4"/>
  <c r="G102" i="4"/>
  <c r="E102" i="4"/>
  <c r="G101" i="4"/>
  <c r="E101" i="4"/>
  <c r="G100" i="4"/>
  <c r="E100" i="4"/>
  <c r="G99" i="4"/>
  <c r="E99" i="4"/>
  <c r="G98" i="4"/>
  <c r="E98" i="4"/>
  <c r="G97" i="4"/>
  <c r="E97" i="4"/>
  <c r="G96" i="4"/>
  <c r="E96" i="4"/>
  <c r="G95" i="4"/>
  <c r="E95" i="4"/>
  <c r="G94" i="4"/>
  <c r="E94" i="4"/>
  <c r="G93" i="4"/>
  <c r="E93" i="4"/>
  <c r="G92" i="4"/>
  <c r="E92" i="4"/>
  <c r="G91" i="4"/>
  <c r="E91" i="4"/>
  <c r="G90" i="4"/>
  <c r="E90" i="4"/>
  <c r="G89" i="4"/>
  <c r="E89" i="4"/>
  <c r="G88" i="4"/>
  <c r="E88" i="4"/>
  <c r="G87" i="4"/>
  <c r="E87" i="4"/>
  <c r="G86" i="4"/>
  <c r="E86" i="4"/>
  <c r="G85" i="4"/>
  <c r="E85" i="4"/>
  <c r="G84" i="4"/>
  <c r="E84" i="4"/>
  <c r="G83" i="4"/>
  <c r="E83" i="4"/>
  <c r="G82" i="4"/>
  <c r="E82" i="4"/>
  <c r="G81" i="4"/>
  <c r="E81" i="4"/>
  <c r="G80" i="4"/>
  <c r="E80" i="4"/>
  <c r="G79" i="4"/>
  <c r="E79" i="4"/>
  <c r="G78" i="4"/>
  <c r="E78" i="4"/>
  <c r="G77" i="4"/>
  <c r="E77" i="4"/>
  <c r="G76" i="4"/>
  <c r="E76" i="4"/>
  <c r="G75" i="4"/>
  <c r="E75" i="4"/>
  <c r="G74" i="4"/>
  <c r="E74" i="4"/>
  <c r="G73" i="4"/>
  <c r="E73" i="4"/>
  <c r="G72" i="4"/>
  <c r="E72" i="4"/>
  <c r="G71" i="4"/>
  <c r="E71" i="4"/>
  <c r="G70" i="4"/>
  <c r="E70" i="4"/>
  <c r="G69" i="4"/>
  <c r="E69" i="4"/>
  <c r="G68" i="4"/>
  <c r="E68" i="4"/>
  <c r="G67" i="4"/>
  <c r="E67" i="4"/>
  <c r="G66" i="4"/>
  <c r="E66" i="4"/>
  <c r="G65" i="4"/>
  <c r="E65" i="4"/>
  <c r="G64" i="4"/>
  <c r="E64" i="4"/>
  <c r="G63" i="4"/>
  <c r="E63" i="4"/>
  <c r="G62" i="4"/>
  <c r="E62" i="4"/>
  <c r="G61" i="4"/>
  <c r="E61" i="4"/>
  <c r="G60" i="4"/>
  <c r="E60" i="4"/>
  <c r="G59" i="4"/>
  <c r="E59" i="4"/>
  <c r="G58" i="4"/>
  <c r="E58" i="4"/>
  <c r="G57" i="4"/>
  <c r="E57" i="4"/>
  <c r="G56" i="4"/>
  <c r="E56" i="4"/>
  <c r="G55" i="4"/>
  <c r="E55" i="4"/>
  <c r="G54" i="4"/>
  <c r="E54" i="4" s="1"/>
  <c r="G53" i="4"/>
  <c r="E53" i="4"/>
  <c r="G52" i="4"/>
  <c r="E52" i="4" s="1"/>
  <c r="G51" i="4"/>
  <c r="E51" i="4"/>
  <c r="G50" i="4"/>
  <c r="E50" i="4" s="1"/>
  <c r="G49" i="4"/>
  <c r="E49" i="4"/>
  <c r="G48" i="4"/>
  <c r="E48" i="4" s="1"/>
  <c r="G47" i="4"/>
  <c r="E47" i="4"/>
  <c r="G46" i="4"/>
  <c r="E46" i="4" s="1"/>
  <c r="G45" i="4"/>
  <c r="E45" i="4"/>
  <c r="G44" i="4"/>
  <c r="E44" i="4" s="1"/>
  <c r="G43" i="4"/>
  <c r="E43" i="4"/>
  <c r="G42" i="4"/>
  <c r="E42" i="4" s="1"/>
  <c r="G41" i="4"/>
  <c r="E41" i="4"/>
  <c r="G40" i="4"/>
  <c r="E40" i="4" s="1"/>
  <c r="G39" i="4"/>
  <c r="E39" i="4"/>
  <c r="G38" i="4"/>
  <c r="E38" i="4" s="1"/>
  <c r="G37" i="4"/>
  <c r="E37" i="4" s="1"/>
  <c r="G36" i="4"/>
  <c r="E36" i="4" s="1"/>
  <c r="G35" i="4"/>
  <c r="E35" i="4"/>
  <c r="G34" i="4"/>
  <c r="E34" i="4" s="1"/>
  <c r="G33" i="4"/>
  <c r="E33" i="4" s="1"/>
  <c r="G32" i="4"/>
  <c r="E32" i="4" s="1"/>
  <c r="G31" i="4"/>
  <c r="E31" i="4"/>
  <c r="G30" i="4"/>
  <c r="E30" i="4" s="1"/>
  <c r="G29" i="4"/>
  <c r="E29" i="4" s="1"/>
  <c r="G28" i="4"/>
  <c r="E28" i="4" s="1"/>
  <c r="G27" i="4"/>
  <c r="E27" i="4"/>
  <c r="G26" i="4"/>
  <c r="E26" i="4" s="1"/>
  <c r="G25" i="4"/>
  <c r="E25" i="4" s="1"/>
  <c r="G24" i="4"/>
  <c r="E24" i="4" s="1"/>
  <c r="G23" i="4"/>
  <c r="E23" i="4"/>
  <c r="G22" i="4"/>
  <c r="E22" i="4" s="1"/>
  <c r="G21" i="4"/>
  <c r="E21" i="4" s="1"/>
  <c r="G20" i="4"/>
  <c r="E20" i="4" s="1"/>
  <c r="G19" i="4"/>
  <c r="E19" i="4"/>
  <c r="G18" i="4"/>
  <c r="E18" i="4" s="1"/>
  <c r="G17" i="4"/>
  <c r="E17" i="4" s="1"/>
  <c r="G16" i="4"/>
  <c r="E16" i="4" s="1"/>
  <c r="G15" i="4"/>
  <c r="E15" i="4"/>
  <c r="G14" i="4"/>
  <c r="E14" i="4"/>
  <c r="G13" i="4"/>
  <c r="E13" i="4" s="1"/>
  <c r="G12" i="4"/>
  <c r="E12" i="4" s="1"/>
  <c r="G11" i="4"/>
  <c r="E11" i="4"/>
  <c r="G10" i="4"/>
  <c r="E10" i="4"/>
  <c r="G9" i="4"/>
  <c r="E9" i="4"/>
  <c r="G8" i="4"/>
  <c r="E8" i="4"/>
  <c r="G7" i="4"/>
  <c r="E7" i="4"/>
  <c r="G6" i="4"/>
  <c r="E6" i="4"/>
  <c r="G5" i="4"/>
  <c r="E5" i="4" s="1"/>
  <c r="G4" i="4"/>
  <c r="E4" i="4" s="1"/>
  <c r="G3" i="4"/>
  <c r="G133" i="4" s="1"/>
  <c r="E3" i="4"/>
  <c r="D116" i="3"/>
  <c r="G115" i="3"/>
  <c r="E115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 s="1"/>
  <c r="G4" i="3"/>
  <c r="E4" i="3"/>
  <c r="G3" i="3"/>
  <c r="E3" i="3"/>
  <c r="E133" i="4" l="1"/>
  <c r="E292" i="5"/>
  <c r="E413" i="5"/>
  <c r="E295" i="5"/>
  <c r="D916" i="5"/>
  <c r="E8" i="6"/>
  <c r="E154" i="6" s="1"/>
  <c r="G8" i="6"/>
  <c r="G154" i="6" s="1"/>
  <c r="G6" i="7"/>
  <c r="G138" i="7" s="1"/>
  <c r="E3" i="5"/>
  <c r="E916" i="5" s="1"/>
  <c r="E6" i="7" l="1"/>
  <c r="E138" i="7" s="1"/>
</calcChain>
</file>

<file path=xl/sharedStrings.xml><?xml version="1.0" encoding="utf-8"?>
<sst xmlns="http://schemas.openxmlformats.org/spreadsheetml/2006/main" count="4609" uniqueCount="1247">
  <si>
    <t>RPVs 1VF</t>
  </si>
  <si>
    <t>VARA</t>
  </si>
  <si>
    <t>PROC</t>
  </si>
  <si>
    <t>TIPO</t>
  </si>
  <si>
    <t>PROVIDÊNCIA</t>
  </si>
  <si>
    <t>AUTORES</t>
  </si>
  <si>
    <t>VALOR</t>
  </si>
  <si>
    <t>HON CONT</t>
  </si>
  <si>
    <t>%SUC</t>
  </si>
  <si>
    <t>3VF</t>
  </si>
  <si>
    <t>HON SUC</t>
  </si>
  <si>
    <t>ANDAMENTO</t>
  </si>
  <si>
    <t>PUSH</t>
  </si>
  <si>
    <t>RECLASSIFICAÇÃO</t>
  </si>
  <si>
    <t>URV</t>
  </si>
  <si>
    <t>MARIA DE JESUS SOUSA CHAVES</t>
  </si>
  <si>
    <t>LUIZA HELENA SILVA AVELAR</t>
  </si>
  <si>
    <t>DESCOMPRESSÃO</t>
  </si>
  <si>
    <t>LUIZ HENRIQUE FALCÃO TEIXEIRA</t>
  </si>
  <si>
    <t>4VF</t>
  </si>
  <si>
    <t>ANGELA MARIA DOS SANTOS CALDAS</t>
  </si>
  <si>
    <t>REGINA CONCEIÇAO DOS SANTOS ABREU</t>
  </si>
  <si>
    <t>ANA NERES LOUZEIRO CARDOSO</t>
  </si>
  <si>
    <t>KARLA CRISTINA SANTOS SOUSA</t>
  </si>
  <si>
    <t>ANALICE GONCALVES DE ARAUJO</t>
  </si>
  <si>
    <t>HORA EXTRA</t>
  </si>
  <si>
    <t>SONIA OLIVEIRA SANTANA</t>
  </si>
  <si>
    <t xml:space="preserve">	JUCILENE DE JESUS MEDEIROS</t>
  </si>
  <si>
    <t>ROSEMARY DA SILVA NOGUEIRA</t>
  </si>
  <si>
    <t>GAUDINO MARCOS CANTANHEDE GUSMÃO</t>
  </si>
  <si>
    <t>ARISTEIA GOMES DE OLIVEIRA ARAUJO</t>
  </si>
  <si>
    <t>JOCILENE RAMOS DE SOUSA</t>
  </si>
  <si>
    <t>MARILENE CARDOSO LOUZEIRO</t>
  </si>
  <si>
    <t>AMELIA COSTA FERREIRA</t>
  </si>
  <si>
    <t>AILDES SILVA PEREIRA</t>
  </si>
  <si>
    <t>IRENE AGUIAR DINIZ</t>
  </si>
  <si>
    <t>JULIANA GARCEZ COSTA</t>
  </si>
  <si>
    <t>AGUARDAR PRAZO RPV</t>
  </si>
  <si>
    <t>SIM</t>
  </si>
  <si>
    <t>RAIMUNDO DAVID</t>
  </si>
  <si>
    <t>SORAIA MARIA GOMES PEREIRA QUEIROZ</t>
  </si>
  <si>
    <t>ALVARÁS EXPEDIDOS</t>
  </si>
  <si>
    <t>EXPEDIR ALVARÁS</t>
  </si>
  <si>
    <t>ROZAILDE CARVALHO LIMA</t>
  </si>
  <si>
    <t>TOTAL</t>
  </si>
  <si>
    <t>RPVs 2VF</t>
  </si>
  <si>
    <t>RPVs 3VF</t>
  </si>
  <si>
    <t>RPVs 4VF</t>
  </si>
  <si>
    <t>MARIA JOSE NUNES</t>
  </si>
  <si>
    <t>EDNALVA DOS SANTOS MACHADO</t>
  </si>
  <si>
    <t>REQUERER SEQUESTRO</t>
  </si>
  <si>
    <t>Sim</t>
  </si>
  <si>
    <t>ALVARÁS RECEBIDOS</t>
  </si>
  <si>
    <t>LIVIA MARIA PEREIRA DOS SANTOS</t>
  </si>
  <si>
    <t>MARIA DE ARAUJO MORAES</t>
  </si>
  <si>
    <t>JANETE FARIA BROGE</t>
  </si>
  <si>
    <t>MARIA JOSE REIS FERREIRA</t>
  </si>
  <si>
    <t>MARIA DO AMPARO MEDEIRO DA SILVA</t>
  </si>
  <si>
    <t>MARIA AURINETE MOREIRA MORAES</t>
  </si>
  <si>
    <t>MARCIA JOSELIA DE CARVALHO ALMEIDA</t>
  </si>
  <si>
    <t>DOGIVAN MADEIRA DOS SANTOS</t>
  </si>
  <si>
    <t>MARIA DE JESUS GOMES NUNES</t>
  </si>
  <si>
    <t>MARIA DAS GRAÇAS E SILVA CUNHA</t>
  </si>
  <si>
    <t>SILVIA RIBEIRO CORREA MARTINS</t>
  </si>
  <si>
    <t>MARIA DE FATIMA DE ARAUJO SILVA</t>
  </si>
  <si>
    <t>SIDALVA PEREIRA NASCIMENTO DO ROSARIO</t>
  </si>
  <si>
    <t>ANTONIA RIBEIRO GOMES</t>
  </si>
  <si>
    <t>ANTONIA AMELIA CARNEIRO LOPES</t>
  </si>
  <si>
    <t>MARIA CONSTANCIA DE OLIVEIRA FONSECA</t>
  </si>
  <si>
    <t>MARIA DO ESPÍRITO SANTO PEREIRA PENHA</t>
  </si>
  <si>
    <t>ROSANGELA SOUSA DE OLIVEIRA</t>
  </si>
  <si>
    <t>MARIA DE FATIMA SANTOS DO NASCIMENTO</t>
  </si>
  <si>
    <t>DIONIZIA SANTOS CARNEIRO</t>
  </si>
  <si>
    <t>ALVARÁ PARA CORRIGIR</t>
  </si>
  <si>
    <t>MARINALVA RIBEIRO SOUSA</t>
  </si>
  <si>
    <t>JOANA DE CASTRO CUNHA</t>
  </si>
  <si>
    <t>LUIS CLAUDIO MUNIZ MATOS</t>
  </si>
  <si>
    <t>VERIFICAR RECEBIMENTO PELO CLIENTE</t>
  </si>
  <si>
    <t>JULE ESTRELA</t>
  </si>
  <si>
    <t>FUNBEN</t>
  </si>
  <si>
    <t>SILVANA FRAGOSO GOMES SILVA</t>
  </si>
  <si>
    <t>PAULO ROBERTO DA SILVA MONTEIRO</t>
  </si>
  <si>
    <t>ALVARÁS RECEBIDOS. VERIFICAR HON CONTRATUAIS</t>
  </si>
  <si>
    <t>NEUSA ALVES LIMA E SILVA</t>
  </si>
  <si>
    <t>RAIMUNDA GUIMARAES NOLETO DE SA</t>
  </si>
  <si>
    <t>ALVARÁS RECEBIDOS PELO CLIENTE. COBRAR.</t>
  </si>
  <si>
    <t>MARIA DE FATIMA AZEVEDO SOUSA</t>
  </si>
  <si>
    <t>NAGILA MARIA MATIAS NASCIMENTO</t>
  </si>
  <si>
    <t>EXPEDIR RPVS</t>
  </si>
  <si>
    <t>INACIO AIRES MENDONCA</t>
  </si>
  <si>
    <t>LAUDECI MEIRELES RODRIGUES</t>
  </si>
  <si>
    <t>TEREZINHA DE JESUS SANTANA</t>
  </si>
  <si>
    <t>MARIA FRANCISCA SERRAO PINHEIRO</t>
  </si>
  <si>
    <t>LUCIA DE JESUS ASSUNCAO FERREIRA</t>
  </si>
  <si>
    <t>MARIA RAIMUNDA DIAS SA</t>
  </si>
  <si>
    <t>SILVIA MARIA GONZAGA GUIMARÃES</t>
  </si>
  <si>
    <t>RAIMUNDA NONATA PINHEIRO COSTA</t>
  </si>
  <si>
    <t>RAIMUNDA NONATA SANTOS ATAÍDE</t>
  </si>
  <si>
    <t>ROSANGELA ARAUJO SILVA DA CUNHA</t>
  </si>
  <si>
    <t>SILVIA REGINA RODRIGUES</t>
  </si>
  <si>
    <t>ELZA LIMA BONFIM</t>
  </si>
  <si>
    <t>SIMONE RUTHE SOARES SILVA</t>
  </si>
  <si>
    <t>TATIJANE SOUSA VALE GRANJEIRO</t>
  </si>
  <si>
    <t>RITA DE CACIA DE SOUZA BRITO</t>
  </si>
  <si>
    <t>TELMA MARIA SENA DOS SANTOS</t>
  </si>
  <si>
    <t>VALERIANO VIEIRA DE SÁ</t>
  </si>
  <si>
    <t>TEREZINHA DE JESUS ALVES BARROSO ROCHA</t>
  </si>
  <si>
    <t>TEREZA BEZERRA DE ARAUJO</t>
  </si>
  <si>
    <t>URÇULA MARVA GARCIA ALVES BILIO</t>
  </si>
  <si>
    <t>DANIEL XAVIER DE LIMA</t>
  </si>
  <si>
    <t>SEBASTIAO MELO DA SILVA</t>
  </si>
  <si>
    <t>VALDA DOS SANTOS BATISTA</t>
  </si>
  <si>
    <t>VITORIA FELIX DO NASCIMENTO</t>
  </si>
  <si>
    <t>FRANCISCA LOUBAO DA SILVA</t>
  </si>
  <si>
    <t>WANDILMAR DE FATIMA DUARTE REIS</t>
  </si>
  <si>
    <t>GELVINA GOMES DE MORAIS</t>
  </si>
  <si>
    <t>WANDA MARIA SOUSA ANTUNES</t>
  </si>
  <si>
    <t>MARIA APARECIDA TAVARES CAVALCANTE</t>
  </si>
  <si>
    <t>MARIA DO SOCORRO DUARTE GOUVEIA</t>
  </si>
  <si>
    <t>NAPOLEAO CAMPOS EVERTON SOBRINHO</t>
  </si>
  <si>
    <t>MARIA DA PAZ OLIVEIRA CAMPOS</t>
  </si>
  <si>
    <t>MARIA DE FATIMA AGUIAR PORTELA</t>
  </si>
  <si>
    <t>AGNALDO MAIA CONSTANTINO</t>
  </si>
  <si>
    <t>ADIEL PRASERES CHAVES</t>
  </si>
  <si>
    <t>JOSE AGNALDO SILVA</t>
  </si>
  <si>
    <t>REGINA MARIA SANTOS SERRA</t>
  </si>
  <si>
    <t>ANA MARIA PENHA E SILVA</t>
  </si>
  <si>
    <t>MARIA VANDA DOS SANTOS NEVES</t>
  </si>
  <si>
    <t>MARIA DA CONCEICAO CHAVES SILVA</t>
  </si>
  <si>
    <t>CELI COSTA DA SILVA</t>
  </si>
  <si>
    <t>MARIA ELZA SILVA DO CARMO</t>
  </si>
  <si>
    <t>MARIA EMILIA CARVALHO COSTA</t>
  </si>
  <si>
    <t>MARIA DA GLORIA VAZ GUIMARAES</t>
  </si>
  <si>
    <t>ANTONIA AGUIAR DA SILVA BARBOSA</t>
  </si>
  <si>
    <t>MARIA DA GRAÇA LOBATO DE MOURA</t>
  </si>
  <si>
    <t>CINESIA PEREIRA DA SILVA NOGUEIRA</t>
  </si>
  <si>
    <t>JEANNETE CARDOSO SANTOS</t>
  </si>
  <si>
    <t>ALIETE BRANDAO DOS SANTOS</t>
  </si>
  <si>
    <t>AUREA MARIA SANTOS CARDOSO</t>
  </si>
  <si>
    <t>MARIA DA LUZ CANAVIEIRA FURTADO</t>
  </si>
  <si>
    <t>CLEUDES GUIMARAES DOS SANTOS</t>
  </si>
  <si>
    <t>ANTONIA MARIA PINHEIRO ANDRADE</t>
  </si>
  <si>
    <t>ROSILENE PIRES BARBOSA</t>
  </si>
  <si>
    <t>CLEUDES DO VALE TAVARES</t>
  </si>
  <si>
    <t>ANTONIA AUREA FRAZAO FERREIRA</t>
  </si>
  <si>
    <t>DULCIMAR OLIVEIRA S DA SILVA</t>
  </si>
  <si>
    <t>DARCY RIBAMAR FERREIRA DA PAIXAO</t>
  </si>
  <si>
    <t>ANTONIA RABELO CASTELO BRANCO</t>
  </si>
  <si>
    <t>FRANCINETE COSTA SOUSA DE FRANCA</t>
  </si>
  <si>
    <t>MARGARIDA LEITE BORGES</t>
  </si>
  <si>
    <t>CONCEICAO DE MARIA SEGUINS MARTINS</t>
  </si>
  <si>
    <t>FLOR DE MARIA CARDOSO MENDES</t>
  </si>
  <si>
    <t>MARIA DAS GRACAS COELHO DE SA</t>
  </si>
  <si>
    <t>CORINA BORGES PADUA NASCIMENTO</t>
  </si>
  <si>
    <t>HILDILENE SILVA SANTOS</t>
  </si>
  <si>
    <t>CELSO DE JESUS PEREIRA</t>
  </si>
  <si>
    <t>ROSALIA ALMEIDA MARTINS NICACI</t>
  </si>
  <si>
    <t>CONCEICAO DE MARIA SANTOS</t>
  </si>
  <si>
    <t>IRANEIDE SILVA TAVARES DO NASCIMENTO</t>
  </si>
  <si>
    <t>BENEDITA DOS SANTOS</t>
  </si>
  <si>
    <t>JOSERITA FONTINELE SILVA</t>
  </si>
  <si>
    <t>DANILO SOUSA ARAUJO</t>
  </si>
  <si>
    <t>LINA CORREIA FRAZAO</t>
  </si>
  <si>
    <t>DORACI ROSA SILVA SOARES</t>
  </si>
  <si>
    <t>LUCIA DE FATIMA FRAZAO</t>
  </si>
  <si>
    <t>ELIANE BASTOS DA SILVA</t>
  </si>
  <si>
    <t>ANTONIO CLEMILTON JANSEN FERREIRA</t>
  </si>
  <si>
    <t>EDUARDA PEREIRA DA SILVA</t>
  </si>
  <si>
    <t>EDILAMAR FERREIRA SANTOS</t>
  </si>
  <si>
    <t>ANA CRISTINA DE JESUS DA SILVA</t>
  </si>
  <si>
    <t>FRANCISCA LUCILIA CARDOSO BARBOSA</t>
  </si>
  <si>
    <t>ALINE BRITO CORDEIRO</t>
  </si>
  <si>
    <t>MARIA DA NATIVIDADE SANTOS</t>
  </si>
  <si>
    <t>ANA LUCIA SANTOS VIEIRA</t>
  </si>
  <si>
    <t>ANA JULIA GARCIA DA COSTA</t>
  </si>
  <si>
    <t>ANA MARIA COSTA MORAES</t>
  </si>
  <si>
    <t>IOLETE RAIMUNDA ARAUJO</t>
  </si>
  <si>
    <t>ANALINA DINIZ ARAUJO</t>
  </si>
  <si>
    <t>ANTONIA SINHORINHA SILVA</t>
  </si>
  <si>
    <t>ANA ROSA FRAZAO LIMA</t>
  </si>
  <si>
    <t>HENRIQUE TEIXEIRA ADVOGADOS ASSOCIADOS</t>
  </si>
  <si>
    <t>INEZ MONTELES DE SOUSA</t>
  </si>
  <si>
    <t>ANTONIA ARLETH DE LIMA SILVA</t>
  </si>
  <si>
    <t>FLORSEMIR DE SOUSA ARAUJO</t>
  </si>
  <si>
    <t>JOANA VIANA LINDOZO</t>
  </si>
  <si>
    <t>ANTONIA MARIA GONCALVES MORAES</t>
  </si>
  <si>
    <t>LINETE DE JESUS COLARES NOGUEIRA</t>
  </si>
  <si>
    <t>ANA MARIA PINHEIRO MARQUES</t>
  </si>
  <si>
    <t>JANE MARY ARAUJO DOS SANTOS</t>
  </si>
  <si>
    <t>MARIA IRANILDES SOUZA FEITOSA</t>
  </si>
  <si>
    <t>ACILASE COSTA MOREIRA</t>
  </si>
  <si>
    <t>JESULINA COSTA SOARES</t>
  </si>
  <si>
    <t>BENEDITA GERTRUDES MARTINS PIRES</t>
  </si>
  <si>
    <t>JOVITA EUNICE BATISTA DE SOUSA</t>
  </si>
  <si>
    <t>MARIA RIBAMAR DE JESUS CANTANHEDE</t>
  </si>
  <si>
    <t>JOCILENE ASSUNCAO LIMA</t>
  </si>
  <si>
    <t>ANTONIETA FERNANDES DE CASTRO CARDOSO</t>
  </si>
  <si>
    <t>RAIMUNDA SILVA SANTOS</t>
  </si>
  <si>
    <t>JOAQUINA MARQUES RODRIGUES</t>
  </si>
  <si>
    <t>EVA NEIDE BRITO DOS SANTOS LIMA</t>
  </si>
  <si>
    <t>JUDITE ASSUNCAO DE SOUZA</t>
  </si>
  <si>
    <t>DENILSON DA SILVA SOUSA</t>
  </si>
  <si>
    <t>PAGO</t>
  </si>
  <si>
    <t>JUCILENE MARIA AROUCHE GOULART COELHO</t>
  </si>
  <si>
    <t>MARIA LUCIA DA SILVA ARAUJO</t>
  </si>
  <si>
    <t>MARIA PROVIDENCIA CUNHA DE OLIVEIRA</t>
  </si>
  <si>
    <t>JOSELIA PEREIRA GONCALVES</t>
  </si>
  <si>
    <t>MARIA DA GRAÇA FREITAS DAMASCENO</t>
  </si>
  <si>
    <t>JOANETE DA SILVA PINTO</t>
  </si>
  <si>
    <t>OSEAS VIANA DE OLIVEIRA FILHO</t>
  </si>
  <si>
    <t>JOANICE MESQUITA MAGALHAES</t>
  </si>
  <si>
    <t>CARLOS AUGUSTO GUIMARAES DAMASCENO</t>
  </si>
  <si>
    <t>LUCIA DE FATIMA ALVES DO AMARAL</t>
  </si>
  <si>
    <t>JOSILENE DE JESUS FRANCA DOS SANTOS</t>
  </si>
  <si>
    <t>IVOMAR CARNEIRO DA SILVEIRA</t>
  </si>
  <si>
    <t>MARIA LUCIA ARAUJO SILVA</t>
  </si>
  <si>
    <t>JORGELIA MARIA LEDA DE CARVALHO LISBOA</t>
  </si>
  <si>
    <t>MARIA EUNICE DE LIMA SOUSA</t>
  </si>
  <si>
    <t>BENEDITA ARAUJO SILVA CALDAS</t>
  </si>
  <si>
    <t>JOSEFA DIAS DOS SANTOS</t>
  </si>
  <si>
    <t>NATALINO SOARES LIMA</t>
  </si>
  <si>
    <t>MARIA DE NAZARE SERRA MAIA</t>
  </si>
  <si>
    <t>MARIZETE ALVES DA COSTA</t>
  </si>
  <si>
    <t>VENCESLAU PEREIRA JUNIOR</t>
  </si>
  <si>
    <t>MAURO HENRIQUE DO NASCIMENTO COSTA</t>
  </si>
  <si>
    <t>ADELCIRA DOS ANJOS PINHEIRO ARAUJO</t>
  </si>
  <si>
    <t>JOSE DE ARIMATEIA FERREIRA DOS SANTOS</t>
  </si>
  <si>
    <t>MARIA DULCE PINHEIRO SERRA</t>
  </si>
  <si>
    <t>WILLIAME DE NAZARE RIBEIRO DA SILVA</t>
  </si>
  <si>
    <t>RAIMUNDA SUZANA CORREA MATOS</t>
  </si>
  <si>
    <t>MARIA DO SOCORRO GOMES UCHOA SANTOS</t>
  </si>
  <si>
    <t>HILDETE DE OLIVEIRA PARENTES</t>
  </si>
  <si>
    <t>SUELI BRITO LIMA MOREIRA</t>
  </si>
  <si>
    <t>LAURINDA LOPES OLIVEIRA</t>
  </si>
  <si>
    <t>BALBINA DE JESUS MAIA</t>
  </si>
  <si>
    <t>LINDALVA DE ARAUJO COSTA</t>
  </si>
  <si>
    <t>MARIA LUIZA RAMOS MOREIRA</t>
  </si>
  <si>
    <t>LINDALVA DE JESUS CARVALHO</t>
  </si>
  <si>
    <t>ONILDE SOARES FREITAS</t>
  </si>
  <si>
    <t>MARIA CARMEM GUIMARAES</t>
  </si>
  <si>
    <t>MARLY FURTADO FRANCA</t>
  </si>
  <si>
    <t>MARIA JOSE LIMA MENESES</t>
  </si>
  <si>
    <t>MARIA DOMINGAS TEIXEIRA RODRIGUES</t>
  </si>
  <si>
    <t>MARIA EDINA ROCHA LIMA</t>
  </si>
  <si>
    <t>MARIA DE NAZARE SILVA SABINO</t>
  </si>
  <si>
    <t>MARIA CELITA MOTA DA SILVA</t>
  </si>
  <si>
    <t>MARIA DO SOCORRO SOARES FURTADO</t>
  </si>
  <si>
    <t>MARIA DA ANUNCIAÇAO OLIVEIRA DE SOUSA</t>
  </si>
  <si>
    <t>MARIA DO PERPETUO SOCORRO MENDONCA FREITAS</t>
  </si>
  <si>
    <t>MARIA INES CASTRO DE MELO</t>
  </si>
  <si>
    <t>NEUSA ALVES DA SILVA COSTA</t>
  </si>
  <si>
    <t>MARIA ALVES DE JESUS E SILVA</t>
  </si>
  <si>
    <t>NAIRES DE JESUS ABREU RAMOS</t>
  </si>
  <si>
    <t>CLAUDIA MARIA CARVALHO SILVA</t>
  </si>
  <si>
    <t>NILZA PEREIRA DE SOUSA</t>
  </si>
  <si>
    <t>TERESINHA MAMEDE LISBOA</t>
  </si>
  <si>
    <t>MAUD PEREIRA MUBARACK</t>
  </si>
  <si>
    <t>OLGA GUIMARAES SILVA</t>
  </si>
  <si>
    <t>MARIA VANA LAGO OLIVEIRA</t>
  </si>
  <si>
    <t>REGINA HELENA DE MEDEIROS PINTO</t>
  </si>
  <si>
    <t>MARIA ELIZETE GAMA SANTANA</t>
  </si>
  <si>
    <t>RITA VIEIRA DE MOURA</t>
  </si>
  <si>
    <t>MARIA BENEDITA SOUSA GAMA</t>
  </si>
  <si>
    <t>SILMAR DE FÁTIMA CHAVES DA SILVA</t>
  </si>
  <si>
    <t>EDNA MARIA SOUSA GOMES</t>
  </si>
  <si>
    <t>ANTONIA SAMPAIO SILVA</t>
  </si>
  <si>
    <t>SOCORRO DE MARIA MARINHO CUTRIM</t>
  </si>
  <si>
    <t>MARIA DA NATIVIDADE SILVA MORAIS</t>
  </si>
  <si>
    <t>VILMA VIEIRA PAIVA</t>
  </si>
  <si>
    <t>MARIA DE JESUS NASCIMENTO MONTELO</t>
  </si>
  <si>
    <t>MARIZETE MORAIS GOMES</t>
  </si>
  <si>
    <t>JOSE DE AQUINO BEZERRA</t>
  </si>
  <si>
    <t>CUSTODIA COSTA RODRIGUES</t>
  </si>
  <si>
    <t>BENZOETE OLIVEIRA CAMPOS</t>
  </si>
  <si>
    <t>MARIA DA SAUDE LEITE SILVA</t>
  </si>
  <si>
    <t>NA CONTADORIA</t>
  </si>
  <si>
    <t>ISABEL SILVA MESQUITA</t>
  </si>
  <si>
    <t>LUIS CARLOS MAGALHAES SANTOS</t>
  </si>
  <si>
    <t>MARIA GOMES DA SILVA CARDOSO</t>
  </si>
  <si>
    <t>MARINETE SANTOS SILVA</t>
  </si>
  <si>
    <t>SILMARIO PINTO ARAGAO</t>
  </si>
  <si>
    <t>FELIX VALOIS DE QUEIROZ</t>
  </si>
  <si>
    <t>FRANCISCA PEREIRA LIMA DE BARROS</t>
  </si>
  <si>
    <t>SEBASTIANA FILHA COELHO AZEVEDO</t>
  </si>
  <si>
    <t>ENVIAR PARA CONTADORIA</t>
  </si>
  <si>
    <t>HAROLDO PEREIRA PONTES</t>
  </si>
  <si>
    <t>FRANCINETE GOMES GUIMARAES</t>
  </si>
  <si>
    <t>ARNON PEREIRA PONTES</t>
  </si>
  <si>
    <t>ELDA ALVES CAMPOS</t>
  </si>
  <si>
    <t>ARIADNA MARTINS COSTA</t>
  </si>
  <si>
    <t>DELTIMAR COSTA E SILVA</t>
  </si>
  <si>
    <t>BERNARDO JOSE SILVA</t>
  </si>
  <si>
    <t>TEREZA SELENE PEREIRA ROCHA</t>
  </si>
  <si>
    <t>MARIA DO AMPARO GOMES FRAZAO</t>
  </si>
  <si>
    <t>LUIS GONZAGA ROCHA COELHO</t>
  </si>
  <si>
    <t>MARIA JOANA LEITE MENDONCA</t>
  </si>
  <si>
    <t>FRANCO HERBERT COELHO DE SOUSA</t>
  </si>
  <si>
    <t>ROSANE MARIA NONATA SOUSA ALVES</t>
  </si>
  <si>
    <t>RAIMUNDA LEDA LOPES LACERDA</t>
  </si>
  <si>
    <t>MARIA JOSE FURTADO DOS SANTOS</t>
  </si>
  <si>
    <t>ALAIDE BRITO</t>
  </si>
  <si>
    <t>MARIA DE JESUS FERREIRA DOS SANTOS CARDOZO</t>
  </si>
  <si>
    <t>ILDAMAR FEITOSA DA COSTA</t>
  </si>
  <si>
    <t>RAIMUNDO DE SOUSA FREITAS</t>
  </si>
  <si>
    <t>MARIA FLOR MENDES DA COSTA</t>
  </si>
  <si>
    <t>CREUZA DOS SANTOS FREITAS</t>
  </si>
  <si>
    <t>MARIA RODRIGUES DA SILVA</t>
  </si>
  <si>
    <t>JOANICE SA ROCHA</t>
  </si>
  <si>
    <t>MARIA ZELIA AMORIM MELO</t>
  </si>
  <si>
    <t>MARIA AUREA OLIVEIRA SANTOS</t>
  </si>
  <si>
    <t>ROSALDINA BATISTA MOURA</t>
  </si>
  <si>
    <t>FRANCISCA CELIA CHAVES SA ROCHA</t>
  </si>
  <si>
    <t>MARIA DE LOURDES DOS SANTOS SANTIAGO</t>
  </si>
  <si>
    <t>SILVANA SOUSA SILVA CORREA</t>
  </si>
  <si>
    <t>TEREZINHA DE JESUS FRAZAO COSTA (ANTÔNIO CARLOS SILVA LICÁ)</t>
  </si>
  <si>
    <t>VERIFICAR SE TODOS OS ALVARÁS FORAM RECEBIDOS</t>
  </si>
  <si>
    <t>TANIA MARIA CARDOSO NOGUEIRA</t>
  </si>
  <si>
    <t>TEREZINHA DE OLIVEIRA VIANA</t>
  </si>
  <si>
    <t>TERESA CRISTINA CASTRO NINA</t>
  </si>
  <si>
    <t>TEREZINHA DE JESUS SILVA VEIGA</t>
  </si>
  <si>
    <t>TEREZA DE JESUS MUNIZ</t>
  </si>
  <si>
    <t>TANIA MARIA BUCELES LIMA</t>
  </si>
  <si>
    <t>TAMIRES PEREIRA CABRAL</t>
  </si>
  <si>
    <t>ANTONIA ROSA XAVIER SANTOS</t>
  </si>
  <si>
    <t>REITERAR PEDIDO DE EXPEDIÇÃO DE RPVS</t>
  </si>
  <si>
    <t>ELIUD FERNANDES DOS SANTOS FILHO</t>
  </si>
  <si>
    <t>FRANCISCA MARIA SILVA NASCIMENTO</t>
  </si>
  <si>
    <t>GARDENIA MARIA BARROS SILVA</t>
  </si>
  <si>
    <t>JOSE DE JESUS SANTOS</t>
  </si>
  <si>
    <t>LUZIA ROSA MOREIRA</t>
  </si>
  <si>
    <t>MARIA DE JESUS SILVA</t>
  </si>
  <si>
    <t>MARIA DE FATIMA MARTINS DE ALMEIDA</t>
  </si>
  <si>
    <t>MARIA JOSE DE LIMA OLIVEIRA</t>
  </si>
  <si>
    <t>MARIA DAS GRAÇAS ARAGAO</t>
  </si>
  <si>
    <t>NAIDE SILVA SANTOS</t>
  </si>
  <si>
    <t>RAIMUNDA GOMES DA SILVA LEITE</t>
  </si>
  <si>
    <t>RAIMUNDA DA COSTA BAIMA</t>
  </si>
  <si>
    <t>SOLANGE DE SOUSA SILVA</t>
  </si>
  <si>
    <t>SANDRA MARIA BORGES</t>
  </si>
  <si>
    <t>EVANILDE COSTA OLIVEIRA</t>
  </si>
  <si>
    <t>MARIA CELESTE PINHEIRO</t>
  </si>
  <si>
    <t>MARIA ELNA MACAU ALVES</t>
  </si>
  <si>
    <t>ROZIMAR DANTAS BOTAO</t>
  </si>
  <si>
    <t>TELMA MARIA ROCHA DUTRA</t>
  </si>
  <si>
    <t>MARIA NAZARE DA SILVA COSTA</t>
  </si>
  <si>
    <t>ANTONIA NOGUEIRA SÁ</t>
  </si>
  <si>
    <t>ANA ELIANE DA COSTA</t>
  </si>
  <si>
    <t>MARIA LUCIA LEMOS SILVA</t>
  </si>
  <si>
    <t>MARIA DAS GRAÇAS SOARES DO NASCIMENTO</t>
  </si>
  <si>
    <t>DINALVA GOMES CABRAL</t>
  </si>
  <si>
    <t>ADELSON RAIMUNDO CAMPOS</t>
  </si>
  <si>
    <t>ELZA NAPOLEAO RIBEIRO</t>
  </si>
  <si>
    <t>ENEDINA RIBEIRO DA SILVA</t>
  </si>
  <si>
    <t>RPVs 5VF</t>
  </si>
  <si>
    <t>GREGORIO HUMBERTO MARTINS</t>
  </si>
  <si>
    <t>ILDA MARIA FERREIRA DOS SANTOS</t>
  </si>
  <si>
    <t>MARIA DA PAZ CAMPOS ALBUQUERQUE</t>
  </si>
  <si>
    <t>MARIA ANTONIA MARTINS ALVES</t>
  </si>
  <si>
    <t>MARISTELA MENDONCA ALVES</t>
  </si>
  <si>
    <t>LUZIA FURTADO CRUZ</t>
  </si>
  <si>
    <t>ROSA MARIA MENDES SANTOS</t>
  </si>
  <si>
    <t>MARINILCE SOARES PEREIRA CONCEICAO</t>
  </si>
  <si>
    <t>MARIA DE JESUS FERREIRA RIBEIRO</t>
  </si>
  <si>
    <t>ALDERINO VIEIRA DE CARVALHO</t>
  </si>
  <si>
    <t>BERNARDA INES DOS SANTOS ARAUJO</t>
  </si>
  <si>
    <t>JOSE VIEIRA DE CARVALHO</t>
  </si>
  <si>
    <t>ANA LUCIA SILVA DE SOUSA</t>
  </si>
  <si>
    <t>RPVs</t>
  </si>
  <si>
    <t>ANA MARIA DOS SANTOS SILVA CONCEICAO</t>
  </si>
  <si>
    <t>CARMEM LUCIA BITTENCOURT CASTELO BRANCO</t>
  </si>
  <si>
    <t>CLARINDA COUTINHO CALDAS</t>
  </si>
  <si>
    <t>ELENICE MARQUES SILVA</t>
  </si>
  <si>
    <t>VERIFICAR RECEBIMENTO DE ALVARÁS</t>
  </si>
  <si>
    <t>FRANCISCA GORETE PORTUGUAL MACHADO</t>
  </si>
  <si>
    <t>HELIENE DE MATOS FERREIRA</t>
  </si>
  <si>
    <t>RPV</t>
  </si>
  <si>
    <t>FRANCISCA MISQUITA DA SILVA</t>
  </si>
  <si>
    <t>MARIA DA CONCEICAO MONTEIRO SILVA</t>
  </si>
  <si>
    <t>MARIA NAZARETH OLIVEIRA FURTADO LIMA</t>
  </si>
  <si>
    <t>ANTONIA RENILDA DIAS DA SILVA</t>
  </si>
  <si>
    <t>NIJANY LÚCIA BATISTA CHAVES</t>
  </si>
  <si>
    <t>MARIA DO SOCORRO GOMES XAVIER BERNARDINO</t>
  </si>
  <si>
    <t>MARIA DO SOCORRO LIMA DINIZ</t>
  </si>
  <si>
    <t>ANA PAULA FERREIRA BARROS</t>
  </si>
  <si>
    <t>MARIA DO CARMO COSTA BARROZO</t>
  </si>
  <si>
    <t>ALDAIRES RODRIGUES FERREIRA</t>
  </si>
  <si>
    <t>REITERAR PEDIDO DE CORREÇÃO DE ALVARÁ</t>
  </si>
  <si>
    <t>ANAIRES ALVES RIBEIRO</t>
  </si>
  <si>
    <t>MARIA SALETE DOS SANTOS GOMES</t>
  </si>
  <si>
    <t>TIRAR CÓPIAS DOS ALVARÁS</t>
  </si>
  <si>
    <t>JOSEFA MARIA DA SILVA</t>
  </si>
  <si>
    <t>MARIA JOSE DOS REIS CAMPOS</t>
  </si>
  <si>
    <t>AMAZONINA CUTRIM BARROS</t>
  </si>
  <si>
    <t>MARIA DO SOCORRO SOUSA</t>
  </si>
  <si>
    <t>MARIA LUZIA SILVA ALVES</t>
  </si>
  <si>
    <t>MARIA DA CONCEICAO TORRES HOLANDA</t>
  </si>
  <si>
    <t>ELIZETE BONFIM COSTA GONCALVES</t>
  </si>
  <si>
    <t>ADNILCE DA CONCEIÇÃO BARBOSA</t>
  </si>
  <si>
    <t>VALDILENE RIBEIRO CERVEIRA</t>
  </si>
  <si>
    <t>ROSILDA SILVA DOS SANTOS</t>
  </si>
  <si>
    <t>LUIZ HENRIQUE FALCAO TEIXEIRA</t>
  </si>
  <si>
    <t>LINDALVA ALMEIDA FERREIRA</t>
  </si>
  <si>
    <t>JOSE ALVES NETO</t>
  </si>
  <si>
    <t>RAIMUNDA MARIA SILVA DE SOUSA</t>
  </si>
  <si>
    <t>MARIA CRISTINA BORGES SILVA</t>
  </si>
  <si>
    <t>JOSE ALBA CIPRIANO DANTAS</t>
  </si>
  <si>
    <t>CONCEIÇÃO CÉLIA BARBOSA CONCEIÇÃO</t>
  </si>
  <si>
    <t>VERIFICAR CERTIDÃO DA CONTADORIA</t>
  </si>
  <si>
    <t>ROSA MARIA TEIXEIRA MACEDO CARDOSO</t>
  </si>
  <si>
    <t>MARIA DO SOCORRO CERVEIRA ANDRADE</t>
  </si>
  <si>
    <t>AMELIA ARAUJO DE OLIVEIRA</t>
  </si>
  <si>
    <t>CONCEIÇÃO DE MARIA OLIVEIRA</t>
  </si>
  <si>
    <t>HILDA SANTOS SOUSA</t>
  </si>
  <si>
    <t>ALEXANDRA HERMELITA DE CARVALHO</t>
  </si>
  <si>
    <t>ELIETE DA ASSUNÇÃO MARTINS DA SILVA</t>
  </si>
  <si>
    <t>MARIVALDA CANTANHEDE</t>
  </si>
  <si>
    <t>ELIANE ROCHA NOGUEIRA</t>
  </si>
  <si>
    <t>ANGELICA DOS SANTOS BARBOSA</t>
  </si>
  <si>
    <t>ANTONIETA DO ROSÁRIO RAMOS COSTA</t>
  </si>
  <si>
    <t>CELIA MARIA FREITAS ARAUJO</t>
  </si>
  <si>
    <t>ALDERISA DE CASTRO MACIEL</t>
  </si>
  <si>
    <t>ANA CELIA CARNEIRO</t>
  </si>
  <si>
    <t>CONCEICAO DE MARIA ARAUJO BEZERRA</t>
  </si>
  <si>
    <t>CONCEIÇAO DE MARIA FELIX COSTA</t>
  </si>
  <si>
    <t>DORALICE LIMA CRUZ</t>
  </si>
  <si>
    <t>DINAURA MORAES DE OLIVEIRA</t>
  </si>
  <si>
    <t>DALILA ARAUJO DA SILVA</t>
  </si>
  <si>
    <t>MARIA ROSA ALCANTARA</t>
  </si>
  <si>
    <t>LUIZA MARIA CRUZ DE SÁ</t>
  </si>
  <si>
    <t>CONCEIÇÃO DE MARIA MONTEIRO SOUZA</t>
  </si>
  <si>
    <t>ELZINEIDE OLIVEIRA AIRES</t>
  </si>
  <si>
    <t>RAIMUNDA NONATA BARROS PEDREIRA</t>
  </si>
  <si>
    <t>EVA MORAES LIMA</t>
  </si>
  <si>
    <t>ESMERALDA ANDRADE DE RAMOS</t>
  </si>
  <si>
    <t>MARIA DOS HUMILDES MELO SANTOS</t>
  </si>
  <si>
    <t>MARIA ELZA BELEM</t>
  </si>
  <si>
    <t>LUCIA MARIA GOMES ALMEIDA</t>
  </si>
  <si>
    <t>ELIETE ABREU DA SILVA</t>
  </si>
  <si>
    <t>MARIA CLEONICE MARINHO</t>
  </si>
  <si>
    <t>MARIA DO SOCORRO DA SILVA RIBEIRO</t>
  </si>
  <si>
    <t>EDUVIRGENS LIMA DA CRUZ</t>
  </si>
  <si>
    <t>NELZILEIDE COSTA BARROS</t>
  </si>
  <si>
    <t>FRANCIDALVA SANTOS DIAS COSTA</t>
  </si>
  <si>
    <t>VANESSA LUCIO NASCIMENTO COELHO</t>
  </si>
  <si>
    <t>ANA LÚCIA DE CASTRO AMBROSY</t>
  </si>
  <si>
    <t>EIDER ANES ROCHA</t>
  </si>
  <si>
    <t>ELCILENE DA LUZ CARIDADE RIBEIRO</t>
  </si>
  <si>
    <t>MARIA ZULMIRA FURTADO DE ANDRADE</t>
  </si>
  <si>
    <t>FRANCISCA DAS CHAGAS PEREIRA LOPES</t>
  </si>
  <si>
    <t>MARIA VITORIA CAMPOS SILVA</t>
  </si>
  <si>
    <t>CONCEIÇÃO DE MARIA TEIXEIRA SOUZA AMARAL</t>
  </si>
  <si>
    <t>FRANCISCA GOMES SA DE ALMEIDA</t>
  </si>
  <si>
    <t>OSITA OLIVEIRA SOUSA</t>
  </si>
  <si>
    <t>JUCIDALVAA TAVARES LIMA</t>
  </si>
  <si>
    <t>CECÍLIA CRISPINA SOARES TEIXEIRA</t>
  </si>
  <si>
    <t>LUCIMAR CANTANHEDE FERREIRA</t>
  </si>
  <si>
    <t>JOSEFA MARIA FRAZAO DA CRUZ</t>
  </si>
  <si>
    <t>JOSEFA SOUSA RIBEIRO</t>
  </si>
  <si>
    <t>ANTÔNIA NETA FILHA</t>
  </si>
  <si>
    <t>ANTONIO GOMES VIEIRA FILHO</t>
  </si>
  <si>
    <t>ANTONIA MELO RODRIGUES</t>
  </si>
  <si>
    <t>JOSÉLIA ARAÚJO SANTANA</t>
  </si>
  <si>
    <t>JODNA SILVERIA SANTOS PEREIRA</t>
  </si>
  <si>
    <t>FRANCISCA DA SILVA MELO</t>
  </si>
  <si>
    <t>DELMIRA MARIA DA CONCEIÇÃO</t>
  </si>
  <si>
    <t>JOANA VIEIRA CASTRO</t>
  </si>
  <si>
    <t>ROSENY BRASIL DE OLIVEIRA</t>
  </si>
  <si>
    <t>ADALGIZA MARIA ARANHA</t>
  </si>
  <si>
    <t>ALVARÁ RECEBIDO PELA CLIENTE. COBRAR.</t>
  </si>
  <si>
    <t>JOSE ORLANDO CORREA</t>
  </si>
  <si>
    <t>MARIA DE LOURDES BORGES DA SILVA</t>
  </si>
  <si>
    <t>LINDALVA SANTOS DE MORAIS</t>
  </si>
  <si>
    <t>FRANCISCA ONEDINA DE OLIVEIRA ASSUNÇÃO</t>
  </si>
  <si>
    <t>FRANCISCA ELIANE PEREIRA</t>
  </si>
  <si>
    <t>FLORA ELISA DOS SANTOS FERNANDES</t>
  </si>
  <si>
    <t>LUCENILDE AQUINO SANTOS</t>
  </si>
  <si>
    <t>OCIREMA VIEIRA JANSEN</t>
  </si>
  <si>
    <t>FLOR DE LIZ SENA BOGÉA</t>
  </si>
  <si>
    <t>FRANCISCA DE SOUSA RODRIGUES</t>
  </si>
  <si>
    <t>LUIZA ARAUJO PEREIRA</t>
  </si>
  <si>
    <t>MARIA DE FÁTIMA RABÊLO SILVA</t>
  </si>
  <si>
    <t>JOSÉ DOS SANTOS BRÚSSIO</t>
  </si>
  <si>
    <t>MARIA DOS MILAGRES SOUSA SANTOS SILVA</t>
  </si>
  <si>
    <t>LUCIMAR VALE RABELO</t>
  </si>
  <si>
    <t>MARIA CELESTE MARTINS BATALHA</t>
  </si>
  <si>
    <t>ROSE NILDES ALVES MARQUES</t>
  </si>
  <si>
    <t>LUZA MARIA SILVA SANTOS</t>
  </si>
  <si>
    <t>MARIA EMIDIA SANTIAGO FERREIRA</t>
  </si>
  <si>
    <t>MARIA ZÉLIA LAGO COSTA</t>
  </si>
  <si>
    <t>MARIA DEUSA MONTEIRO SILVA</t>
  </si>
  <si>
    <t>MARIA DO PERPÉTUO SOCORRO GONÇALVES GARCIA</t>
  </si>
  <si>
    <t>MARIA BENEDITA DE OLIVEIRA SILVA</t>
  </si>
  <si>
    <t>MARIA RAIMUNDA VIEIRA RODRIGUES</t>
  </si>
  <si>
    <t>MARIA DA GRAÇA DE ARAÚJO GONÇALVES</t>
  </si>
  <si>
    <t>MARIA DE FÁTIMA DA COSTA PEREIRA</t>
  </si>
  <si>
    <t>MARIA DO ROSÁRIO DE FÁTIMA MENEZES DA SILVEIRA</t>
  </si>
  <si>
    <t>MARIA DO CARMO SILVA DA SERRA</t>
  </si>
  <si>
    <t>MARIA DAS GRAÇAS MORAES MELO</t>
  </si>
  <si>
    <t>MARIA DA GRACA GAMA REIS</t>
  </si>
  <si>
    <t>MARIA REGINA GOMES GONÇALVES</t>
  </si>
  <si>
    <t>ANA CELIA RODRIGUES CARNEIRO</t>
  </si>
  <si>
    <t>MARISA BERRÊDO FRANÇA</t>
  </si>
  <si>
    <t>MARIA DAS GRACAS SILVA BASTOS</t>
  </si>
  <si>
    <t>MARIA JOSÉ RIBAMAR SILVA E SILVA</t>
  </si>
  <si>
    <t>LIZ MARINA DE JESUS RAPÔSO</t>
  </si>
  <si>
    <t>MARIA MADALENA DINIZ FERREIRA</t>
  </si>
  <si>
    <t>SILVANA REGINA BRANDAO DE PAIVA</t>
  </si>
  <si>
    <t>MARIA JOSÉ DA CONCEIÇÃO RAMOS</t>
  </si>
  <si>
    <t>MARIA DO DESTERRO VELOSO</t>
  </si>
  <si>
    <t>ADELAIDE DA LUZ LOPES</t>
  </si>
  <si>
    <t>ADGINE DA CONCEIÇÃO LOPES GOES</t>
  </si>
  <si>
    <t>MARIA DA CONCEICAO SOUSA MARTINS</t>
  </si>
  <si>
    <t>EDENE LOPES SOEIRO</t>
  </si>
  <si>
    <t>ILDENIR PEREIRA DE ARAÚJO CUNHA</t>
  </si>
  <si>
    <t>JOANA COSTA GARCÊS ANJOS</t>
  </si>
  <si>
    <t>MARIA REGINA TRAVASSOS SOUZA</t>
  </si>
  <si>
    <t>MARIA SERRAT CARVALHO MARTINS</t>
  </si>
  <si>
    <t>CONCEIÇÃO DE MARIA BASTOS DA HORA</t>
  </si>
  <si>
    <t>MARIA JOSE NASCIMENTO SANTOS</t>
  </si>
  <si>
    <t>MARIA DA CONCEIÇÃO CUNHA DE ARAÚJO</t>
  </si>
  <si>
    <t>MARIA DE FATIMA MELO DAVILA</t>
  </si>
  <si>
    <t>JACKELINE DA CONCEIÇÃO TEIXEIRA</t>
  </si>
  <si>
    <t>MARIA EVA DE SOUSA GOMES</t>
  </si>
  <si>
    <t>ERIVALDO SOARES RODRIGUES</t>
  </si>
  <si>
    <t>LÚCIDE DE MARIA LAGO</t>
  </si>
  <si>
    <t>CREUSA WATANABE DE SOUZA SILVA</t>
  </si>
  <si>
    <t>RAIMUNDA BORGES VALE</t>
  </si>
  <si>
    <t>MARIA CAMILA MENDES</t>
  </si>
  <si>
    <t>MARIA RAIMUNDA SOUSA OLIVEIRA</t>
  </si>
  <si>
    <t>ZILDA WATANABE SOUSA DA SILVA</t>
  </si>
  <si>
    <t>CLEIA DE JESUS ALVES DA CUNHA</t>
  </si>
  <si>
    <t>MARIA DO SOCORRO SOARES SOUSA</t>
  </si>
  <si>
    <t>MARIA DA CONCEIÇÃO RAMOS DO NASCIMENTO</t>
  </si>
  <si>
    <t>MELICIO ARAUJO</t>
  </si>
  <si>
    <t>VALDECI VASCONCELOS CARNEIRO</t>
  </si>
  <si>
    <t>MARIA DE FATIMA VIANA DE OLIVEIRA</t>
  </si>
  <si>
    <t>JOANA SILVEIRA CORREA RAMALHO</t>
  </si>
  <si>
    <t>GEDEÃO DOS REIS OLIVEIRA</t>
  </si>
  <si>
    <t>MARIA DE JESUS MENDES LOPES</t>
  </si>
  <si>
    <t>ZELIA FARIAS SILVA</t>
  </si>
  <si>
    <t>FRANCISCO ALVES MACÊDO</t>
  </si>
  <si>
    <t>VALDI DIAS DE ABREU</t>
  </si>
  <si>
    <t>MARINICE DA SILVA CARNEIRO</t>
  </si>
  <si>
    <t>VIVALDO DAS GRAÇAS FERREIRA RODRIGUES</t>
  </si>
  <si>
    <t>REDSON ARAUJO PAZ</t>
  </si>
  <si>
    <t>FRANCY CLAUDIA SANTOS FURTADO</t>
  </si>
  <si>
    <t>MIRIAN CASTRO</t>
  </si>
  <si>
    <t>MARIA DA GLORIA DO ROSARIO DIAS</t>
  </si>
  <si>
    <t>GERSON DE JESUS MONTEIRO</t>
  </si>
  <si>
    <t>MARIA DA CONCEIÇÃO CASTRO</t>
  </si>
  <si>
    <t>ZILMA DE JESUS FURTADO GALENO</t>
  </si>
  <si>
    <t>JOSE DE RIBAMAR CAMPOS DOS SANTOS</t>
  </si>
  <si>
    <t>IVONETE DA SILVA LOPES</t>
  </si>
  <si>
    <t>ANTÔNIA CRUZ DO VALE</t>
  </si>
  <si>
    <t>RITA MARIA DE SOUSA MUNIZ</t>
  </si>
  <si>
    <t>CARMEM MIRANDA PEREIRA GOMES</t>
  </si>
  <si>
    <t>EDILEUSA DO NASCIMENTO COSTA</t>
  </si>
  <si>
    <t>AMUJACI DA SILVA LOPES</t>
  </si>
  <si>
    <t xml:space="preserve">	MARIA DO ROSARIO PORTUGUAL MACHADO</t>
  </si>
  <si>
    <t>FÁTIMA LISBÔA DIAS SILVA</t>
  </si>
  <si>
    <t xml:space="preserve">	MARIA DO AMPARO DA SILVA GOMES</t>
  </si>
  <si>
    <t>MARIA DE FÁTIMA DO ROSÁRIO FRÓES</t>
  </si>
  <si>
    <t>MARIA DAS GRAÇAS OLIVEIRA CONCEIÇÃO</t>
  </si>
  <si>
    <t>PEDRO GOMES MARINHO DE SOUZA</t>
  </si>
  <si>
    <t xml:space="preserve">	MARIA DE NAZARE COUTINHO SILVA</t>
  </si>
  <si>
    <t>RAIMUNDO NONATO RODRIGUES DE OLIVEIRA</t>
  </si>
  <si>
    <t>MARIA FRANCISCA RODRIGUES TELES</t>
  </si>
  <si>
    <t xml:space="preserve">	MARILENE GARCES SILVA</t>
  </si>
  <si>
    <t>JOAQUIM TELES DE MENESES FILHO</t>
  </si>
  <si>
    <t>ÍRIS ADRIANA CAVALCANTE PEREIRA</t>
  </si>
  <si>
    <t>Ana Linhares Da Silva</t>
  </si>
  <si>
    <t xml:space="preserve">	MARIA DO SOCORRO BRANDAO MACHADO CUNHA</t>
  </si>
  <si>
    <t xml:space="preserve">	SEBASTIANA DA SILVA FERNANDES</t>
  </si>
  <si>
    <t>MARIA DE JESUS MOREIRA MARTINS</t>
  </si>
  <si>
    <t xml:space="preserve">	TEREZINHA BRANDAO MACHADO</t>
  </si>
  <si>
    <t>ALEXANDRINA LIMA SIQUEIRA</t>
  </si>
  <si>
    <t>ELZIENE PEREIRA DA COSTA</t>
  </si>
  <si>
    <t>RAIMUNDA BERNARDA SOUSA PIMENTA</t>
  </si>
  <si>
    <t>EDILENE OLIVEIRA ALVES</t>
  </si>
  <si>
    <t xml:space="preserve">	MANOEL ANASTACIO DA SILVA</t>
  </si>
  <si>
    <t>EDVALDO MARTINS MAGALHÃES</t>
  </si>
  <si>
    <t>MARIA DO ROSÁRIO GOMES CAMPOS</t>
  </si>
  <si>
    <t>LEONIZIA NETA RODRIGUES</t>
  </si>
  <si>
    <t xml:space="preserve">	GLORIA DE MARIA RIBEIRO MEIRELES</t>
  </si>
  <si>
    <t>MARGARIDA DAS GRAÇAS MORAES ARAÚJO BARROS</t>
  </si>
  <si>
    <t>CRIZÁLIDA DAMACENO DE CASTRO DA SILVA</t>
  </si>
  <si>
    <t>FRANCISCA PINTO ARAGÃO</t>
  </si>
  <si>
    <t>MARIA RIBEIRO MEIRELES</t>
  </si>
  <si>
    <t>DINALVA LIMA DA SILVA</t>
  </si>
  <si>
    <t>MARIA DE LOURDES BARROSO</t>
  </si>
  <si>
    <t>JOSÉ RIBAMAR VIEIRA PAULA</t>
  </si>
  <si>
    <t xml:space="preserve">	MARIA JOSE DE SOUZA LIMA</t>
  </si>
  <si>
    <t>FRANCISCA ARAÚJO CARVALHO</t>
  </si>
  <si>
    <t>MARINALVA SOUSA LIMA</t>
  </si>
  <si>
    <t>MARIA NALVA LOPES ARAÚJO</t>
  </si>
  <si>
    <t xml:space="preserve">	MARIA EDILEUSA PEREIRA DA COSTA</t>
  </si>
  <si>
    <t>MARIA GESSIMAR PEREIRA DA SILVA</t>
  </si>
  <si>
    <t>INÊS IRACEMA DE ALBUQUERQUE DE SOUSA</t>
  </si>
  <si>
    <t>WALVENARGNES RIBEIRO COSTA</t>
  </si>
  <si>
    <t>MARIA DA CONCEIÇÃO DE MELO COSTA</t>
  </si>
  <si>
    <t>MARIA DO SOCORRO SILVA DE OLIVEIRA</t>
  </si>
  <si>
    <t>MARIA DE LOURDES FONSECA LOBATO</t>
  </si>
  <si>
    <t>ADEMIR DE JESUS MARTINS BRITO</t>
  </si>
  <si>
    <t>IRACEMA DA SILVA PINTO</t>
  </si>
  <si>
    <t>MIRTES COSTA SILVA SANTOS</t>
  </si>
  <si>
    <t>MARIA DOS ANJOS VIEIRA MONTELES</t>
  </si>
  <si>
    <t>VANIA MARIA MARTINS DA SILVA</t>
  </si>
  <si>
    <t>MARIA JOSÉ LIRA CARVALHO</t>
  </si>
  <si>
    <t>MARIA DAS DORES SANTOS SOARES</t>
  </si>
  <si>
    <t>MANOEL ALVES DE SOUSA</t>
  </si>
  <si>
    <t>MARIA ROSIMAR BASTOS NASCIMENTO</t>
  </si>
  <si>
    <t>MARIA JOSE PEREIRA SANDES</t>
  </si>
  <si>
    <t>LEONESA MONTELES DE SOUSA</t>
  </si>
  <si>
    <t>LEONILIA PEREIRA DOS SANTOS MONTELES</t>
  </si>
  <si>
    <t>JOSÉ SABINO DINIZ</t>
  </si>
  <si>
    <t>JOSÉ ANTONIO AROUCHA VIEIRA</t>
  </si>
  <si>
    <t>OSELY SOUSA DOS REIS</t>
  </si>
  <si>
    <t>IVANICE SARMENTO LIMA</t>
  </si>
  <si>
    <t>LUZIA GONÇALVES DE CARVALHO</t>
  </si>
  <si>
    <t>ANTONIO DIDIMO CARVALHO</t>
  </si>
  <si>
    <t>SUBSTABELECIDO PARA OUTRO ADVOGADO ANTES DA FORMAÇÃO DA RPV</t>
  </si>
  <si>
    <t>MARIA DE NAZARE MIRANDA</t>
  </si>
  <si>
    <t>MARIA VIEIRA DE OLIVEIRA</t>
  </si>
  <si>
    <t>ABMAEL RODRIGUES DE ARAUJO</t>
  </si>
  <si>
    <t>OLINDA ALVES DE SOUZA</t>
  </si>
  <si>
    <t>MARIA DO CARMO LAVINA</t>
  </si>
  <si>
    <t>ANTONIA ALZENIR LIMA GOMES</t>
  </si>
  <si>
    <t>ALBERTINA SOUSA MORAES QUEIROZ</t>
  </si>
  <si>
    <t>ANA LOPES DA SILVA MOURA</t>
  </si>
  <si>
    <t>CARLA VIRGÍNIA SALES CAMPOS</t>
  </si>
  <si>
    <t>EUNICE GOMES DE MOURA</t>
  </si>
  <si>
    <t>FRANCISCO SOARES PEREIRA</t>
  </si>
  <si>
    <t>FRANCISCO ERIVALDO NASCIMENTO BEZERRA</t>
  </si>
  <si>
    <t>IRACI ARAUJO SILVA MATIAS</t>
  </si>
  <si>
    <t>IZAURA BEZERRA DA SILVA</t>
  </si>
  <si>
    <t>IRACEMA ROSA DE CARVALHO</t>
  </si>
  <si>
    <t>IRACILDA COELHO DE SOUSA SOARES</t>
  </si>
  <si>
    <t>MARIA GOMES DE MOURA SILVA</t>
  </si>
  <si>
    <t>MARIA LOPES BATISTA DE SOUSA</t>
  </si>
  <si>
    <t>MARIA EUNICE DE SOUSA</t>
  </si>
  <si>
    <t>MARIA DA PAZ DE JESUS CARVALHO</t>
  </si>
  <si>
    <t>AGUIDA MARIA ROSA DE SOUSA</t>
  </si>
  <si>
    <t>4VC</t>
  </si>
  <si>
    <t>ALCINDA DA HORA ALMEIDA</t>
  </si>
  <si>
    <t>INDENIZATÓRIA</t>
  </si>
  <si>
    <t>JUVENAL DA CONCEICAO FERNANDES SANTOS</t>
  </si>
  <si>
    <t>ANTONIA BENEDITA PEREIRA COSTA</t>
  </si>
  <si>
    <t>ANTONIA OGENIA OLIVEIRA DE ALEMIDA</t>
  </si>
  <si>
    <t>ANTONIA PEREIRA DOS SANTOS</t>
  </si>
  <si>
    <t>ROSA VIANA DE OLIVEIRA SILVA</t>
  </si>
  <si>
    <t>RITA DE CASSIA MACEDO ROMA</t>
  </si>
  <si>
    <t>ROSILDA CARDOSO DE OLIVEIRA</t>
  </si>
  <si>
    <t>41262/2010</t>
  </si>
  <si>
    <t>ELISIANE FRANÇA DA SILVA E OUTRA</t>
  </si>
  <si>
    <t>WLISSES ALEXANDRE GOMES</t>
  </si>
  <si>
    <t>HELOISA CARNEIRO MENDES</t>
  </si>
  <si>
    <t>LOURENCIO MOTTA</t>
  </si>
  <si>
    <t>NAZIRA AMORIM DE CARVALHO ALMEIDA</t>
  </si>
  <si>
    <t>OSENILDE DE MELO PINHEIRO</t>
  </si>
  <si>
    <t>MARLENE SOUSA ALVES FERNANDES</t>
  </si>
  <si>
    <t>MARIA DAS GRAÇAS MATOS VIANA SANTOS</t>
  </si>
  <si>
    <t>MARIA SOUSA DE QUEIROZ</t>
  </si>
  <si>
    <t>MARIA LUCIA COSTA</t>
  </si>
  <si>
    <t>MARIA JOSE DOS SANTOS DE AMORIM</t>
  </si>
  <si>
    <t>ANA LUCIA FREITAS VASCONCELOS AMARAL</t>
  </si>
  <si>
    <t>MARIA DO ROSARIO DE FATIMA OLIVEIRA</t>
  </si>
  <si>
    <t>ANA OLIVIA DA COSTA MUNIZ</t>
  </si>
  <si>
    <t>ALTEVI DE JESUS COSTA BATISTA</t>
  </si>
  <si>
    <t>LUZIA FERREIRA MUNIZ</t>
  </si>
  <si>
    <t>LAURENÇA PINHEIRO MENDONÇA</t>
  </si>
  <si>
    <t>EDILENE FERREIRA LIMA</t>
  </si>
  <si>
    <t>MARCOS SOARES PEREIRA</t>
  </si>
  <si>
    <t>TEREZINHA LIZIE DA COSTA LIMA</t>
  </si>
  <si>
    <t>DEUSANIRA PEREIRA RODRIGUES BATISTA</t>
  </si>
  <si>
    <t>ANTONIO BRITO</t>
  </si>
  <si>
    <t>ALVINO PEREIRA DA COSTA</t>
  </si>
  <si>
    <t>ANTONIO LUIZ ALVES DE ALBUQUERQUE</t>
  </si>
  <si>
    <t>ANTONIETA DE JESUS OLIVEIRA NASCIMENTO</t>
  </si>
  <si>
    <t>ANTONIA SILVA LOPES</t>
  </si>
  <si>
    <t>AURORA ALVES DA SILVA</t>
  </si>
  <si>
    <t>ANTONIA OLIVEIRA SOUSA</t>
  </si>
  <si>
    <t>AURÉA MARGARETE SANTOS SOUZA</t>
  </si>
  <si>
    <t>ANA MARIA BEZERRA DE ASSUNCAO</t>
  </si>
  <si>
    <t>ANTONIO JAIME AGUIAR PAIVA</t>
  </si>
  <si>
    <t>BENEDITO RIBEIRO DA SILVA</t>
  </si>
  <si>
    <t>BENEDITA MARIA CONCEIÇAO REIS</t>
  </si>
  <si>
    <t>BIBIANA MARIA PEREIRA NERY</t>
  </si>
  <si>
    <t>CLAUDIONORA DOS SANTOS NOGUEIRA</t>
  </si>
  <si>
    <t>CACILDA FIGUEIREDO NERI DE AGUIAR</t>
  </si>
  <si>
    <t>ANA CRISTINE FERREIRA DA SILVA</t>
  </si>
  <si>
    <t>BASILIO SOUSA MARTINS</t>
  </si>
  <si>
    <t>ELIZABETH ALVES GOMES</t>
  </si>
  <si>
    <t>IOLITA MOUZINHO SOARES</t>
  </si>
  <si>
    <t>JOANA ASSUNCAO DIAS</t>
  </si>
  <si>
    <t>LUCIA HELENA CASTRO CANTANHEDE</t>
  </si>
  <si>
    <t>MARIA MIRAMAR GONCALVES</t>
  </si>
  <si>
    <t>RAIMUNDO NONATO VIANA SILVA</t>
  </si>
  <si>
    <t>MARIA JOSE RODRIGUES TAVARES</t>
  </si>
  <si>
    <t>MARIA JOSE OLIVEIRA PEREIRA</t>
  </si>
  <si>
    <t>RAIMUNDA LUCIA SILVA AQUINO</t>
  </si>
  <si>
    <t>SILMA MARIA SILVA SANTOS</t>
  </si>
  <si>
    <t>VERA LUCIA DO DESTERRO FERREIRA</t>
  </si>
  <si>
    <t>CLEDITE CARVALHO TAVARES</t>
  </si>
  <si>
    <t>DIACUI GOMES TAKEMOTO</t>
  </si>
  <si>
    <t>CARMELITA MARTINS SANDES</t>
  </si>
  <si>
    <t>ANAIDES RODRIGUES FERREIRA</t>
  </si>
  <si>
    <t>MATILDES DIAS DE SOUSA</t>
  </si>
  <si>
    <t>MARIA DAS MERCES DIAS DE SOUSA</t>
  </si>
  <si>
    <t>VERA LUCIA PORTELA QUEIROZ</t>
  </si>
  <si>
    <t>EVANI IBIAPINO MIRANDA</t>
  </si>
  <si>
    <t>TUNTUM</t>
  </si>
  <si>
    <t>ANA MARY LOPES DE OLIVEIRA</t>
  </si>
  <si>
    <t>YOLANDA FREITAS DE ARAÚJO E OUTROS</t>
  </si>
  <si>
    <t>ANTONIA MARIA COELHO MOURA</t>
  </si>
  <si>
    <t>MARGARIDA ALVES FERREIRA</t>
  </si>
  <si>
    <t>MARIA NUBIA SANDES DOURADO</t>
  </si>
  <si>
    <t>ENOIDES GOMES DE SOUSA</t>
  </si>
  <si>
    <t>MARIA DE NAZARE SILVA SEPULVEDA</t>
  </si>
  <si>
    <t>MARIA GOMES COSTA</t>
  </si>
  <si>
    <t>FLOR DE MARIA MORAES NAZAR</t>
  </si>
  <si>
    <t>ALBA HOLANDA PEREIRA</t>
  </si>
  <si>
    <t>Valor bloqueado. Requerer expedição de alvarás.</t>
  </si>
  <si>
    <t>SOLÚVIA ALVES LIMA E OUTROS</t>
  </si>
  <si>
    <t>Determinado expedição de RPV</t>
  </si>
  <si>
    <t>SERGIANA LOPES DE LIMA E OUTROS</t>
  </si>
  <si>
    <t>Crédito recebido por Gutemberg. Alvarás somente para os clientes.</t>
  </si>
  <si>
    <t>VALÉRIA PINHEIRO VAZ E OUTROS</t>
  </si>
  <si>
    <t>Determinado bloqueio</t>
  </si>
  <si>
    <t>ANA PATRICIA DE SOUSA SARAIVA E OUTROS</t>
  </si>
  <si>
    <t>RAIMUNDA PEREIRA DA SILVA E OUTROS</t>
  </si>
  <si>
    <t>MARLUCE FERNANDES SANTOS</t>
  </si>
  <si>
    <t>ANA MARIA DA CUNHA E OUTROS</t>
  </si>
  <si>
    <t>Alvará com erro. Pedir correção.</t>
  </si>
  <si>
    <t>MARIA DAS DORES SENA DOS SANTOS</t>
  </si>
  <si>
    <t>EDNA LIMA FERREIRA E OUTROS</t>
  </si>
  <si>
    <t>MARIA LEONICE ARAÚJO SILVA E OUTROS</t>
  </si>
  <si>
    <t>MARIA DE LOURDES PIRES SENA</t>
  </si>
  <si>
    <t>INALDO SILVA CASTRO E OUTROS</t>
  </si>
  <si>
    <t>ROSANE MARIA GOMES FIGUEIREDO E OUTROS</t>
  </si>
  <si>
    <t>MARIA APARECIDA FERREIRA DOS SANTOS E OUTROS</t>
  </si>
  <si>
    <t>MARIA DA CONCEICAO FERREIRA SODRE</t>
  </si>
  <si>
    <t>Alvará expedido.</t>
  </si>
  <si>
    <t>SÃO VICENTE FÉRRER</t>
  </si>
  <si>
    <t>RAIMUNDA NONATA DINIZ FREIRE E OUTROS</t>
  </si>
  <si>
    <t>MARIA DAS DORES PALHANO BEZERRA</t>
  </si>
  <si>
    <t>ARIMOSSENE MATOS CUTRIM</t>
  </si>
  <si>
    <t>MARIA DE FATIMA DA COSTA MARAO</t>
  </si>
  <si>
    <t>CARMELITA BATISTA MORAES PINHEIRO</t>
  </si>
  <si>
    <t>MARIA EDWIRGENS FERREIRA CARDOSO</t>
  </si>
  <si>
    <t>CLAUDIANE DE JESUS MENDES SANTOS</t>
  </si>
  <si>
    <t>MARIA DAS GRACAS MAGALHAES FERNANDES</t>
  </si>
  <si>
    <t>DOMINGAS DE JESUS MENDONCA</t>
  </si>
  <si>
    <t>MARIA DE LOURDES CORREIA VALENTE</t>
  </si>
  <si>
    <t>FERNANDO MENDES</t>
  </si>
  <si>
    <t>MARIA DAS GRACAS SOARES</t>
  </si>
  <si>
    <t>DETERMINADO SEQUESTRO</t>
  </si>
  <si>
    <t>MARIA JOSE SERRAO DE CARVALHO</t>
  </si>
  <si>
    <t>RAIMUNDA RIBEIRO MATIAS TAVARES</t>
  </si>
  <si>
    <t>RAIMUNDA NONATA SILVA AZEVEDO</t>
  </si>
  <si>
    <t>RAIMUNDA DOS REIS MARTINS</t>
  </si>
  <si>
    <t>SILVANIA DA SILVA SOARES</t>
  </si>
  <si>
    <t>SEBASTIAO DE AQUINO</t>
  </si>
  <si>
    <t>VABER MEDEIROS COSTA</t>
  </si>
  <si>
    <t>VANIA MARIA DE ASSUNCAO SARAIVA</t>
  </si>
  <si>
    <t>ZARIF BEZERRA JADAO</t>
  </si>
  <si>
    <t>ANTONIA DIAS DE OLANDA</t>
  </si>
  <si>
    <t>ANA GUIMARÃES BRITO</t>
  </si>
  <si>
    <t>ANTONIA SIQUEIRA CHAVES</t>
  </si>
  <si>
    <t>ABELINA DA SILVA LOPES</t>
  </si>
  <si>
    <t>DALIA BATISTA DIAS</t>
  </si>
  <si>
    <t>LUIZA DE CASTRO ANDRADE</t>
  </si>
  <si>
    <t>LEONICE DOS SANTOS SOUSA</t>
  </si>
  <si>
    <t>MARIA RAIMUNDA MONTEIRO DOS SANTOS</t>
  </si>
  <si>
    <t>TEREZINHA DE JESUS EVANGELISTA SANCHES</t>
  </si>
  <si>
    <t>ANA ROSA ARANHA COSTA</t>
  </si>
  <si>
    <t>JOVELINA DE JESUS PINTO CASTELO</t>
  </si>
  <si>
    <t>ROSANIRA ARAUJO VAZ</t>
  </si>
  <si>
    <t>RITA FOICINHA DOS SANTOS</t>
  </si>
  <si>
    <t>MARIA GLADES DA GRACA SILVA FOICINHA</t>
  </si>
  <si>
    <t>MARIA JOSE BALDEZ DE SOUSA</t>
  </si>
  <si>
    <t>RAIMUNDA ROSA BARROS SILVA</t>
  </si>
  <si>
    <t>ROSA MARIA MORAES PAIXAO</t>
  </si>
  <si>
    <t>ZENIL SERRA SOARES</t>
  </si>
  <si>
    <t>CLAUDINA MARQUES SERRA</t>
  </si>
  <si>
    <t>CATARINA MENDES VELOZO</t>
  </si>
  <si>
    <t>ILNÁ SILVA BASTOS</t>
  </si>
  <si>
    <t>IRANEIDE COELHO PINHEIRO NUNES</t>
  </si>
  <si>
    <t>MARIA DO SOCORRO SILVA MELO</t>
  </si>
  <si>
    <t>MARIA DE FATIMA RODRIGUES</t>
  </si>
  <si>
    <t>ARINA FRANCA PESSOA</t>
  </si>
  <si>
    <t>ANTONIA COSTA LEITE LOBATO ARAUJO</t>
  </si>
  <si>
    <t>FRANCISCA MARIA BOGEA PINHO</t>
  </si>
  <si>
    <t>FAUSTINA VITORIA PIMENTA FRANCA</t>
  </si>
  <si>
    <t>JOSEFA FERREIRA PINTO</t>
  </si>
  <si>
    <t>JOSETHE DOS ANJOS GARCIA FONSECA</t>
  </si>
  <si>
    <t>LINDALVA BARROS SOUSA</t>
  </si>
  <si>
    <t>LUISA AMELIA RIBEIRO SILVA</t>
  </si>
  <si>
    <t>MARIA DA CONCEICAO MARTINS PINHEIRO</t>
  </si>
  <si>
    <t>MARIA JOSE MARQUES SILVA</t>
  </si>
  <si>
    <t>MARIA ALICE PEREIRA MARQUES</t>
  </si>
  <si>
    <t>MARIA LUZIA DOS SANTOS MENDES</t>
  </si>
  <si>
    <t>MARGARETH CRISTINA SOARES MORAES</t>
  </si>
  <si>
    <t>MARIA JOSE RIBEIRO</t>
  </si>
  <si>
    <t>RAIMUNDA NONATA MARQUES COSTA</t>
  </si>
  <si>
    <t>ARLENE MARIA MATA</t>
  </si>
  <si>
    <t>ANTONIO JOSE VIEIRA</t>
  </si>
  <si>
    <t>FRANCISCA DAS CHAGAS ARAÚJO</t>
  </si>
  <si>
    <t>FRANCISCA DAS CHAGAS COUTO ARAUJO</t>
  </si>
  <si>
    <t>HERMINIA MAURA FREITAS DE ALMEIDA</t>
  </si>
  <si>
    <t>JOSE OLIVEIRA</t>
  </si>
  <si>
    <t>MARIA DA NATIVIDADE CARVALHO NUNES DUALIBE</t>
  </si>
  <si>
    <t>MARIA ESTER COSTA CAVALCANTE</t>
  </si>
  <si>
    <t>MARIA JOSÉ CARVALHO LIMA</t>
  </si>
  <si>
    <t>MARIA DE FATIMA ARAUJO LOPES</t>
  </si>
  <si>
    <t>RAIMUNDA MARIA DA CONCEICAO</t>
  </si>
  <si>
    <t>TEREZINHA DE JESUS GOMES DA SILVA</t>
  </si>
  <si>
    <t>LUCINDA FRAZAO DA SILVA</t>
  </si>
  <si>
    <t>MARIA JOSE MENDES PORTUGAL</t>
  </si>
  <si>
    <t>MARIA INALDE SANTOS SILVA</t>
  </si>
  <si>
    <t>MARIA DA GLORIA VIEIRA DOS SANTOS</t>
  </si>
  <si>
    <t>MARIA ENILDE SOUSA SILVA NASCIMENTO</t>
  </si>
  <si>
    <t>NAZARE BATISTA SILVA</t>
  </si>
  <si>
    <t>RUBENITA MEIRELES MARTINS</t>
  </si>
  <si>
    <t>RAIMUNDA DA CONCEICAO MORAES PEREIRA</t>
  </si>
  <si>
    <t>ROSANILDE CUTRIM FERREIRA</t>
  </si>
  <si>
    <t>RAIMUNDA DO SOCORRO BOGÉA DOMINICES</t>
  </si>
  <si>
    <t>REGINA CELIA BARROS CORDEIRO</t>
  </si>
  <si>
    <t>RAIMUNDA NONATA MENDES PESSOA</t>
  </si>
  <si>
    <t>RAIMUNDO NONATO DE SOUSA</t>
  </si>
  <si>
    <t>RAIMUNDO GOMES DO MONTE</t>
  </si>
  <si>
    <t>ROSANGELA VELOSO MELO</t>
  </si>
  <si>
    <t>SERGIO SILVA SEREJO</t>
  </si>
  <si>
    <t>TEREZINHA DE JESUS VIEIRA PEREIRA</t>
  </si>
  <si>
    <t>VERA LUCIA DE MELO</t>
  </si>
  <si>
    <t>FRANCISCA ALMEIDA DE ARRUDA</t>
  </si>
  <si>
    <t>ISABEL DE SOUSA CUNHA</t>
  </si>
  <si>
    <t>LUIZA MACHADO MAIA</t>
  </si>
  <si>
    <t>FRANCISCA MARIA DE SOUSA</t>
  </si>
  <si>
    <t>NEIARA ARRUDA JUCÁ</t>
  </si>
  <si>
    <t>IROÁ DA SILVA BEZERRA</t>
  </si>
  <si>
    <t>MARIA DE LOURDES DE ARAUJO ANDRADE</t>
  </si>
  <si>
    <t>DINÁ SILVA PIMENTEL</t>
  </si>
  <si>
    <t>VALMISOLIA COSTA BARROS</t>
  </si>
  <si>
    <t>LUCILENE FREITAS CARDOSO</t>
  </si>
  <si>
    <t>BENEDITA OLEGARIA DOS SANTOS CARVALHO</t>
  </si>
  <si>
    <t>MARIA IVELDA SANTOS DE MIRANDA</t>
  </si>
  <si>
    <t>NILZE NOLETO DE MOURA</t>
  </si>
  <si>
    <t>MARIA DE NAZARE COSTA COELHO</t>
  </si>
  <si>
    <t>SONIA MARIA FERNANDES DA COSTA</t>
  </si>
  <si>
    <t>JOANA MARIA DA CONCEICAO DE SOUSA</t>
  </si>
  <si>
    <t>LUDMILA CARNEIRO NASCIMENTO COSTA</t>
  </si>
  <si>
    <t>MANOEL SOBRAL</t>
  </si>
  <si>
    <t>MARIA EVARISTA DE SOUSA BARROS</t>
  </si>
  <si>
    <t>DOMITILIA MARIA SOUSA CARNEIRO</t>
  </si>
  <si>
    <t>ELZAMOR MARTINS DE BRITO</t>
  </si>
  <si>
    <t>HELBA HELENA NUNES BARROS</t>
  </si>
  <si>
    <t>IRACEMA ROCHA MATOS</t>
  </si>
  <si>
    <t>IRIS CARREIRO VARAO DA SILVA</t>
  </si>
  <si>
    <t>IRISMAYRE PEREIRA DA COSTA GONÇALVES</t>
  </si>
  <si>
    <t>JOSE HENRIQUE LOPES DE SOUSA</t>
  </si>
  <si>
    <t>MARIA DAS GRACAS DIAS CARNEIRO MATOS</t>
  </si>
  <si>
    <t>MARIA DE JESUS CARVALHO</t>
  </si>
  <si>
    <t>MARIA FRANCISCA RODRIGUES DE AQUINO</t>
  </si>
  <si>
    <t>BENEDITA BRANDÃO MOREIRA</t>
  </si>
  <si>
    <t>MARIA DE JESUS SOUSA MENDES</t>
  </si>
  <si>
    <t>MARIA DO CARMO BEZERRA DE SOUSA</t>
  </si>
  <si>
    <t>MARIA ELIETE SANTANA PACHECO</t>
  </si>
  <si>
    <t>MARIA NEIDE VIEIRA NASCIMENTO</t>
  </si>
  <si>
    <t>MARIA NEUSA DA SILVA FALCAO</t>
  </si>
  <si>
    <t>MARIA JOSE LIMA RODRIGUES</t>
  </si>
  <si>
    <t>NANCY MENEZES PEDRINO</t>
  </si>
  <si>
    <t>NILDE AMORIM DA COSTA</t>
  </si>
  <si>
    <t>NORMELIA GONCALVES LIMA</t>
  </si>
  <si>
    <t>PRIAMO JOSE DE LEMOS NETO</t>
  </si>
  <si>
    <t>RAIMUNDA MELO FERREIRA</t>
  </si>
  <si>
    <t>RAIMUNDA GONCALVES DE SOUSA</t>
  </si>
  <si>
    <t>RAIMUNDA DE JESUS QUEIROZ SOUSA</t>
  </si>
  <si>
    <t>RAIMUNDO NONATO MOURAO</t>
  </si>
  <si>
    <t>RAIMUNDA IRES DE SOUSA QUEIROZ</t>
  </si>
  <si>
    <t>IEDA MARIA MENDES REGO</t>
  </si>
  <si>
    <t>PARA IMPLANTAR</t>
  </si>
  <si>
    <t>LUCIMAR SILVA</t>
  </si>
  <si>
    <t>MARIA DE JESUS LEAO</t>
  </si>
  <si>
    <t>FRANCISCA DAS CHAGAS BERTOLDO LIMA</t>
  </si>
  <si>
    <t>FRANCISCA LIMA COUTINHO</t>
  </si>
  <si>
    <t>LIDIA DE SOUZA MOREIRA</t>
  </si>
  <si>
    <t>MARLENE BERTOLDO LIMA</t>
  </si>
  <si>
    <t>MARIA DO SOCORRO BEZERRA ALVES</t>
  </si>
  <si>
    <t>MARIA BERTOLDO SOARES</t>
  </si>
  <si>
    <t>SEBASTIÃO ALVES MOTA FILHO</t>
  </si>
  <si>
    <t>VALNICE BERTOLDO ROSARIO DA SILVA</t>
  </si>
  <si>
    <t>VALDEIRES MARIA BERTOLDO LIMA</t>
  </si>
  <si>
    <t>LUCIA DA GLORIA COSTA DE AZEVEDO</t>
  </si>
  <si>
    <t>ZULAIR DAS GRACAS OLIVEIRA GOMES</t>
  </si>
  <si>
    <t>CECILIA GOMES SANTOS SILVA</t>
  </si>
  <si>
    <t>CLENICE SILVA</t>
  </si>
  <si>
    <t>MARIA NAZARE PINHO SILVA</t>
  </si>
  <si>
    <t>LINETE SERRA COSTA</t>
  </si>
  <si>
    <t>MARIA DE NAZARE MARTINS NASCIMENTO</t>
  </si>
  <si>
    <t>MARTINHA ASEVEDO SOARES</t>
  </si>
  <si>
    <t>MARIA JOSE SILVA PESTANA</t>
  </si>
  <si>
    <t>ROSALIA FRANCISCA DA SILVA</t>
  </si>
  <si>
    <t>JOSE RAIMUNDO CORREIA DOS SANTOS</t>
  </si>
  <si>
    <t>MARIA EDNA SOARES</t>
  </si>
  <si>
    <t>MARIA JOSE NUNES CORREA SILVA</t>
  </si>
  <si>
    <t>ZELIA ALVINO DE MESQUITA E SOUSA</t>
  </si>
  <si>
    <t>MARIA DA CONCEICAO VELOSO PEREIRA</t>
  </si>
  <si>
    <t>CLAUDIA PINHEIRO OLIVEIRA</t>
  </si>
  <si>
    <t>GILKA DA NATIVIDADE CARDOSO LIMA</t>
  </si>
  <si>
    <t>VILMA HELENA ALVES DA SILVA</t>
  </si>
  <si>
    <t>VERA NUBIA FERREIRA DE LIMA</t>
  </si>
  <si>
    <t>RITA RODRIGUES DE ARAUJO RIBEIRO</t>
  </si>
  <si>
    <t>RAIMUNDA MOTA RODRIGUES</t>
  </si>
  <si>
    <t>ROSIMAR LUCAS DA FONSECA</t>
  </si>
  <si>
    <t>RAIMUNDA DOS SANTOS MENDONCA</t>
  </si>
  <si>
    <t>SONHA MARIA LOBO PEREIRA</t>
  </si>
  <si>
    <t>CLEONICE CAMPOS GUIMARAES</t>
  </si>
  <si>
    <t>DALVELINA LOBATO DE OLIVEIRA</t>
  </si>
  <si>
    <t>IRIS DALVA BANDEIRA DE MELO</t>
  </si>
  <si>
    <t>ISABEL SANTOS ABREU</t>
  </si>
  <si>
    <t>IRANETE MACIEL SILVA</t>
  </si>
  <si>
    <t>FRANCISCA DAS GRACAS ARAUJO</t>
  </si>
  <si>
    <t>DILMA MARIA CORDEIRO DA SILVA</t>
  </si>
  <si>
    <t>MARINETE SANTOS TRINDADE DE GOIAS</t>
  </si>
  <si>
    <t>VALDNER ALVES FERREIRA</t>
  </si>
  <si>
    <t>ELIZABETE MIURA DA SILVA</t>
  </si>
  <si>
    <t>NAZIDE LUCAS DOS SANTOS OLIVEIRA</t>
  </si>
  <si>
    <t>SONIA MARIA AMORIM MOURAO</t>
  </si>
  <si>
    <t>MARIA VANDERLICE SOUSA LOPES</t>
  </si>
  <si>
    <t>JOSELINA RIBAMAR DOS SANTOS</t>
  </si>
  <si>
    <t>RAIMUNDA CARVALHO SANTOS SOUZA</t>
  </si>
  <si>
    <t>MARIA DAS GRACAS SANTOS ARAUJO</t>
  </si>
  <si>
    <t>MARIA IRISMAR DE ALENCAR SILVA</t>
  </si>
  <si>
    <t>MARIA ISABEL SOARES MOURA</t>
  </si>
  <si>
    <t>ELVIRA RUTH ESTRELA SOUSA</t>
  </si>
  <si>
    <t>MARIA FRANCISCA DE CARVALHO L.IMA</t>
  </si>
  <si>
    <t>AMBRONILDE SANTOS VIEIRA</t>
  </si>
  <si>
    <t>RAIMUNDA VIEIRA NETO</t>
  </si>
  <si>
    <t>KATIA SANTOS ALMEIDA</t>
  </si>
  <si>
    <t>NILDES DE JESUS SILVA LEMOS</t>
  </si>
  <si>
    <t>FLORIPES MACHADO CARVALHO</t>
  </si>
  <si>
    <t>FRANCISCA LINHARES QUEIROGA DE SOUSA</t>
  </si>
  <si>
    <t>FRANCISCA DAS CHAGAS LOPES OLIVEIRA</t>
  </si>
  <si>
    <t>FLORIZA PEREIRA FURTADO</t>
  </si>
  <si>
    <t>FRANCISCA BARROS MOURAO</t>
  </si>
  <si>
    <t>FRANCISCO FILHO DOS SANTOS</t>
  </si>
  <si>
    <t>ISABEL TORRES CLOVES FERNANDES</t>
  </si>
  <si>
    <t>IRACILDA FERNANDES SOUSA</t>
  </si>
  <si>
    <t>IOLENE CARVALHO BRANDAO SOUSA</t>
  </si>
  <si>
    <t>FRANCISCA EDNA ALVES DE SOUSA</t>
  </si>
  <si>
    <t>MARIA DAS DORES MENDES LISBOA</t>
  </si>
  <si>
    <t>FRANCISCA SILVA PEREIRA</t>
  </si>
  <si>
    <t>FRANCISCA PEREIRA MATIAS</t>
  </si>
  <si>
    <t>FLORENTINA SERRA FERREIRA TEIXEIRA</t>
  </si>
  <si>
    <t>MARIA AMELIA SOARES FEITOSA</t>
  </si>
  <si>
    <t>MARIA RITA DE SOUSA</t>
  </si>
  <si>
    <t>MARIA DE FATIMA LEMOS</t>
  </si>
  <si>
    <t>MARIA DAS GRAÇAS FELIX DE AGUIAR</t>
  </si>
  <si>
    <t>ROSINALDO PEREIRA SOARES</t>
  </si>
  <si>
    <t>CONCEICAO DE MARIA PENHA RIBEIRO DUARTE</t>
  </si>
  <si>
    <t>MARIA DA CRUZ PIRES DA SILVA MENDES</t>
  </si>
  <si>
    <t>VERIFICAR SE O PROCESSO É NOSSO</t>
  </si>
  <si>
    <t>MARIA DA CONCEICAO PIRES CARDOSO</t>
  </si>
  <si>
    <t>MARLENE MENDES COSTA BARROS</t>
  </si>
  <si>
    <t>MARIA ARCANJA PASSARINHO OLIVEIRA</t>
  </si>
  <si>
    <t>ANTONIA MARTINS DE OLIVEIRA SOUZA</t>
  </si>
  <si>
    <t>LUIZ PAULO DA SILVA</t>
  </si>
  <si>
    <t>ELISONETE ARAUJO</t>
  </si>
  <si>
    <t>MARIA REGINA ALVES</t>
  </si>
  <si>
    <t>OLEGARIA FERREIRA DIAS</t>
  </si>
  <si>
    <t>ELENICE DINIZ SILVA</t>
  </si>
  <si>
    <t>RAIMUNDA NONATA MORAIS MELO</t>
  </si>
  <si>
    <t>MARIA DA CONCEIÇÃO RAMOS MENDES</t>
  </si>
  <si>
    <t>CONCEICAO DE JESUS ALMEIDA LAVRA</t>
  </si>
  <si>
    <t>MARIA JOSE PIRES</t>
  </si>
  <si>
    <t>MARIA DO SOCORRO MARTINS CUTRIM</t>
  </si>
  <si>
    <t>NEACIS DE JESUS LOPES MARTINS</t>
  </si>
  <si>
    <t>NORMA LUCIA SILVA DE SOUSA</t>
  </si>
  <si>
    <t>SANDRA LOURDES SILVA ROCHA</t>
  </si>
  <si>
    <t>OSVALDINA CRUZ DA SILVA</t>
  </si>
  <si>
    <t>MARIA GORETTE SILVA</t>
  </si>
  <si>
    <t>MARIA DE LOURDES PEREIRA DA SILVA</t>
  </si>
  <si>
    <t>MARIA DO SOCORRO SILVA SOUZA</t>
  </si>
  <si>
    <t>MARIA ESTER SOUSA DA SILVA</t>
  </si>
  <si>
    <t>MARGARETH ARANHA BANDEIRA</t>
  </si>
  <si>
    <t>MARIA DAS GRAÇAS SOARES MUNIZ</t>
  </si>
  <si>
    <t>MARIA MARCELINA SOARES DOS SANTOS</t>
  </si>
  <si>
    <t>MARIA JOSE SOUZA ROCHA</t>
  </si>
  <si>
    <t>MARIA DA PAZ COSTA LAMAR</t>
  </si>
  <si>
    <t>MARIA DOS REMEDIOS RIBEIRO DA SILVA</t>
  </si>
  <si>
    <t>MARIA DO CARMO DOS SANTOS FONSECA</t>
  </si>
  <si>
    <t>MARIA RAIMUNDA DA SILVA ROCHA</t>
  </si>
  <si>
    <t>MARIA DAS MERCES CHAVES CASTRO</t>
  </si>
  <si>
    <t>MARIA MADALENA MAGALHAES ARAUJO</t>
  </si>
  <si>
    <t>MARINALVA SOUSA BOMFIM</t>
  </si>
  <si>
    <t>EDNA DA COSTA LIMA</t>
  </si>
  <si>
    <t>ANTONIA FELIX SILVA DE OLIVEIRA</t>
  </si>
  <si>
    <t>RITA OLIVEIRA LIMA DOS SANTOS</t>
  </si>
  <si>
    <t>MARIA DAS DORES LOPES FERREIRA</t>
  </si>
  <si>
    <t>ANTONIA FERREIRA DE AMORIM SILVA</t>
  </si>
  <si>
    <t>FRANCISCA FERREIRA DE AMORIM</t>
  </si>
  <si>
    <t>CLOTILDES GASPAR DE LIMA NUNES</t>
  </si>
  <si>
    <t>CLOVES VARGAS CARNEIRO</t>
  </si>
  <si>
    <t>DAMIAO MEDEIROS DA SILVA</t>
  </si>
  <si>
    <t>EZI GOMES DA SILVA SANTIAGO</t>
  </si>
  <si>
    <t>MILENE BRITO DE SOUSA</t>
  </si>
  <si>
    <t>SEBASTIANA VANDA BEZERRA DE MORAIS</t>
  </si>
  <si>
    <t>ALBERTO VARGAS CARNEIRO</t>
  </si>
  <si>
    <t>ALUIZIO LOPES VIANA</t>
  </si>
  <si>
    <t>ANA ZILDA ARRUDA IBIAPINA</t>
  </si>
  <si>
    <t>ANA LUCIA CARNEIRO RIOS</t>
  </si>
  <si>
    <t>ANA MARIA CARNEIRO RODRIGUES</t>
  </si>
  <si>
    <t>ANTONIA JOVITA DE ARRUDA</t>
  </si>
  <si>
    <t>CARMELITA SOUZA FELIZ</t>
  </si>
  <si>
    <t>ANTONIO FERNANDES DOS SANTOS</t>
  </si>
  <si>
    <t>MARIA CLARAA GOMES</t>
  </si>
  <si>
    <t>MARIA LUZIA DE ALMEIDA MARTINS</t>
  </si>
  <si>
    <t>MARIA DAS GRACAS DUTRA COELHO</t>
  </si>
  <si>
    <t>MARIA DO PERPETUO SOCORRO DUTRA COSTA</t>
  </si>
  <si>
    <t>MARIA DE JESUS LIMA NETA</t>
  </si>
  <si>
    <t>MARIA EUNICE MATOS FRANCO</t>
  </si>
  <si>
    <t>MARIA DA PAZ LIMA COELHO</t>
  </si>
  <si>
    <t>MARIA DE NASARE RODRIGUES MESQUITA</t>
  </si>
  <si>
    <t>MARIA ALVES RODRIGUES</t>
  </si>
  <si>
    <t>MARIA FRANCISCA CARDOSO PEREIRA</t>
  </si>
  <si>
    <t>MARIA DE JESUS DA SILVA CHAVES</t>
  </si>
  <si>
    <t>MARIA CELESTE SILVA DE MATOS</t>
  </si>
  <si>
    <t>MARIA DAS GRACAS CIDREIRA LOPES</t>
  </si>
  <si>
    <t>MARIA ANTONIA MOREIRA MARINHO</t>
  </si>
  <si>
    <t>MARIA ROSA DE JESUS SANTOS</t>
  </si>
  <si>
    <t>LEDA DE FATIMA NERI DE CARVALHO</t>
  </si>
  <si>
    <t>PAULA MARIA DE OLIVEIRA</t>
  </si>
  <si>
    <t>WALNICE DE SOUSA SILVA</t>
  </si>
  <si>
    <t>JOANETE BORGES PIRES</t>
  </si>
  <si>
    <t>JOSANA CRISTINA RIBEIRO FERNANDES</t>
  </si>
  <si>
    <t>JOVELINA NOVAIS BERREDO</t>
  </si>
  <si>
    <t>RITA DE CASSIA DO LAGO GOMES</t>
  </si>
  <si>
    <t>RAIMUNDA MORAIS SILVA</t>
  </si>
  <si>
    <t>ROSALINA DE FATIMA SOEIRO SA</t>
  </si>
  <si>
    <t>ORLANDIRA MARIA ABRANTES PEREIRA</t>
  </si>
  <si>
    <t>OLGA GONCALVES BRANDAO</t>
  </si>
  <si>
    <t>OZANA FROES PENHA</t>
  </si>
  <si>
    <t>OTACILIA PINTO NUNES</t>
  </si>
  <si>
    <t>ONESINDA FERREIRA MOTA DINIZ</t>
  </si>
  <si>
    <t>OLINDA RAPOSO COSTA FONSECA</t>
  </si>
  <si>
    <t>OLINDINA LAMAR NUNES</t>
  </si>
  <si>
    <t>PATRICIA MONY SILVA CALDAS</t>
  </si>
  <si>
    <t>PEDRO PAULO CANDEIA</t>
  </si>
  <si>
    <t>PRIMOGENITO ANGELO DOS SANTOS</t>
  </si>
  <si>
    <t>PEDRINA PEREIRA CRUZ GOMES</t>
  </si>
  <si>
    <t>ROSILDA SOARES</t>
  </si>
  <si>
    <t>ADMA DAMASCENO LEITE</t>
  </si>
  <si>
    <t>VANDA MARIA FRAZAO SILVA</t>
  </si>
  <si>
    <t>MARIA ANGELA DOS SANTOS OLIVEIRA</t>
  </si>
  <si>
    <t>NAIZA SILVA DE SOUSA</t>
  </si>
  <si>
    <t>VERA LUCIA SOTERO MARTINS</t>
  </si>
  <si>
    <t>RAIMUNDA GOMES DA SILVA</t>
  </si>
  <si>
    <t>ROBERTO CARLOS SILVA VIVEIROS</t>
  </si>
  <si>
    <t>RAIMUNDA MARIA DOS SANTOS MONTEIRO</t>
  </si>
  <si>
    <t>ROBERVAL SILVA VIVEIROS</t>
  </si>
  <si>
    <t>RITA RAMOS DO NASCIMENTO</t>
  </si>
  <si>
    <t>ISABEL RAINHA COSTA MELO</t>
  </si>
  <si>
    <t>MARIA BENEDITA PINHEIRO BARROS</t>
  </si>
  <si>
    <t>MARIA DO LIVRAMENTO BOAZ SILVA</t>
  </si>
  <si>
    <t>ADAH AYMORE NINA BRANDAO</t>
  </si>
  <si>
    <t>DALILA PEREIRA ALVES DE OLIVEIRA</t>
  </si>
  <si>
    <t>MARIA RAIMUNDA DA SILVA VERAS</t>
  </si>
  <si>
    <t>MARIA DE JESUS SILVA COSTA</t>
  </si>
  <si>
    <t>MARIA RAIMUNDA MEDEIROS ROSA</t>
  </si>
  <si>
    <t>OUTROS</t>
  </si>
  <si>
    <t>FRANCIVALDO DA SILVA COELHO</t>
  </si>
  <si>
    <t>IRACEMA ALZIRA DA SILVA DE GOIS</t>
  </si>
  <si>
    <t>IRACY FERREIRA VELOSO</t>
  </si>
  <si>
    <t>MARIA DO PERPETUO SOCORRO PINTO SOUZA COSTA</t>
  </si>
  <si>
    <t>VICENTINA ANASTACIA PEREIRA DOS REIS</t>
  </si>
  <si>
    <t>VANDERLINA MARIA DOS PRASERES LEARTE</t>
  </si>
  <si>
    <t>ZENAIDE GOMES DE JESUS</t>
  </si>
  <si>
    <t>HILDENE MUNIZ FERREIRA</t>
  </si>
  <si>
    <t>MARIA NAGIBE NASSAR PIRES</t>
  </si>
  <si>
    <t>MARIA DO PERPETUO SOCORRO RABELO</t>
  </si>
  <si>
    <t>ROSA LIMA DE SOUZA AMARAL</t>
  </si>
  <si>
    <t>ANTONIA DALVA GALVAO AGUIAR</t>
  </si>
  <si>
    <t>MARIA DOS REMEDIOS OLIVEIRA DOS SANTOS ARAUJO</t>
  </si>
  <si>
    <t>MARIA EUZA SILVA MORAIS</t>
  </si>
  <si>
    <t>CHARLENE VIANA MAGALHAES BRASIL E OUTROS</t>
  </si>
  <si>
    <t>MARIA RIBAMAR SIQUEIRA DOS SANTOS</t>
  </si>
  <si>
    <t>FRANCARLOS DINIZ RIBEIRO</t>
  </si>
  <si>
    <t>MARIA DO ROSARIO CUTRIM SILVA</t>
  </si>
  <si>
    <t>MARIA MALHEIROS DE AGUIAR</t>
  </si>
  <si>
    <t>MARIA JOSE ALVES NUNES</t>
  </si>
  <si>
    <t>MARIA DO SOCORRO SOUSA E SILVA</t>
  </si>
  <si>
    <t>JOSE MARIA DA SILVA</t>
  </si>
  <si>
    <t>ANA MARIA SANTOS CANTANHEDE</t>
  </si>
  <si>
    <t>ANTONIA OSVALDIRA ARANHA LIMA</t>
  </si>
  <si>
    <t>ANTONINA DO SOCORRO PEREIRA FONSECA</t>
  </si>
  <si>
    <t>ANALUCIA GONCALVES COSTA</t>
  </si>
  <si>
    <t>BENEDITA DE MENEZES</t>
  </si>
  <si>
    <t>BALBINA ROSA DOS SANTOS SILVA</t>
  </si>
  <si>
    <t>CONCEICAO DE MARIA DA SILVA AMORIM</t>
  </si>
  <si>
    <t>CONCEICAO DE MARIA FRANCA NUNES</t>
  </si>
  <si>
    <t>CONCEIÇAO DE MARIA COSTA CARVALHO</t>
  </si>
  <si>
    <t>DOMINGAS DE JESUS CRUZ SANTOS</t>
  </si>
  <si>
    <t>ELENILDE MARIA DA CONCEIÇAO RODRIGUES</t>
  </si>
  <si>
    <t>ELIANE COELHO LINHARES</t>
  </si>
  <si>
    <t>ESTER GIRIO CAVAIGNAC</t>
  </si>
  <si>
    <t>FRANSSINETE SOUSA</t>
  </si>
  <si>
    <t>HELTON CARLOS NASCIMENTO PEREIRA</t>
  </si>
  <si>
    <t>DORACI SEBASTIANA MARTINS RODRIGUES</t>
  </si>
  <si>
    <t>JOSE RIBMAR MONTEIRO COSTA</t>
  </si>
  <si>
    <t>DILMA MARIA CANTANHEDE LIMA</t>
  </si>
  <si>
    <t>ROSILDA DA CONCEIÇAO MENDES MACIEL</t>
  </si>
  <si>
    <t>SIZERNILDE DE JESUS PEREIRA CANTANHEDE</t>
  </si>
  <si>
    <t>DELZA PEREIRA SILVA</t>
  </si>
  <si>
    <t>DALVANIRA DOS SANTOS OLIVEIRA NUNES</t>
  </si>
  <si>
    <t>DARIA GARCIA CASTELO BRANCO</t>
  </si>
  <si>
    <t>DEIA DE FATIMA PRIVADO TRINDADE</t>
  </si>
  <si>
    <t>DULCIMAR COSTA DE ABREU</t>
  </si>
  <si>
    <t>MARIA JOSE CAVALCANTE DA CRUZ</t>
  </si>
  <si>
    <t>IRONEIDE GUEDES FERNANDES</t>
  </si>
  <si>
    <t>JOSE REINALDO TRAVASSOS NUNES</t>
  </si>
  <si>
    <t>JOSUILA FRANCO PINHEIRO</t>
  </si>
  <si>
    <t>LUIENE BARROS DA SILVA</t>
  </si>
  <si>
    <t>MARIA EUNICE DA SILVA SOARES</t>
  </si>
  <si>
    <t>MARILENE SANTANA DOS SANTOS</t>
  </si>
  <si>
    <t>MARIA ELIENE MORAIS DE FIGUEIREDO</t>
  </si>
  <si>
    <t>MARIA DA PAZ RODRIGUES VIEIRA</t>
  </si>
  <si>
    <t>MARIA DA NATIVIDADE COSTA</t>
  </si>
  <si>
    <t>MARIA JOSE DE OLIVEIRA</t>
  </si>
  <si>
    <t>MARIA DO ESPIRITO SANTO SOARES VERAS</t>
  </si>
  <si>
    <t>MARIA DA CONCEIÇÃO SILVA DO NASCIMENTO</t>
  </si>
  <si>
    <t>MARIA JOSE DOS SANTOS</t>
  </si>
  <si>
    <t>MARIA APARECIDA COSTA MUNIZ</t>
  </si>
  <si>
    <t>MARIA DO CARMO LIMA</t>
  </si>
  <si>
    <t>INA SANTOS MENDES</t>
  </si>
  <si>
    <t>BERNARDA ALBUQUERQUE NASCIMENTO</t>
  </si>
  <si>
    <t>LIANE PEREIRA MAIA</t>
  </si>
  <si>
    <t>MARIA JOSE GARCIA ARAUJO</t>
  </si>
  <si>
    <t>RITA VIEIRA DA SILVA</t>
  </si>
  <si>
    <t>DIRANICE DE JESUS TAVEIRA</t>
  </si>
  <si>
    <t>EUZINETE NAVA DA SILVA</t>
  </si>
  <si>
    <t>VERIDIANA SILVA SOUSA</t>
  </si>
  <si>
    <t>ANTONIA DIAS MOURAO</t>
  </si>
  <si>
    <t>ACREMI RAMOS DE SOUSA</t>
  </si>
  <si>
    <t>ANTONIA DE ARAUJO NASCIMENTO</t>
  </si>
  <si>
    <t>ALDENIR CARVALHO NUNES</t>
  </si>
  <si>
    <t>ANGELINA JOSE RABELO</t>
  </si>
  <si>
    <t>ANTONIO GOMES CORDEIRO</t>
  </si>
  <si>
    <t>ANA LUIZA TRAJANO DE SOUSA</t>
  </si>
  <si>
    <t>ANA LUCIA RIBEIRO CRUZ</t>
  </si>
  <si>
    <t>ALMERINA RESPLANDIS CORDOVA PIAUILINO</t>
  </si>
  <si>
    <t>ANTÔNIA REGINA VIEIRA DOS SANTOS</t>
  </si>
  <si>
    <t>ALDAIRES MILHOMEM DE MELO</t>
  </si>
  <si>
    <t>ANGELA MARIA ARRUDA SOUSA</t>
  </si>
  <si>
    <t>ARMINDA DOS SANTOS PUÇA</t>
  </si>
  <si>
    <t>AUDILICE RODRIGUES DA SILVA</t>
  </si>
  <si>
    <t>BERENICE DE SOUSA SILVA</t>
  </si>
  <si>
    <t>TANIA MARIA CHAVES MENDES</t>
  </si>
  <si>
    <t>TERESINHA DE JESUS GALENO</t>
  </si>
  <si>
    <t>THEREZA CRISTINA BORGES SERRA MADEIRA</t>
  </si>
  <si>
    <t>VILMA MARIA CORREA DE OLIVEIRA</t>
  </si>
  <si>
    <t>VERA LUCIA BERREDO PINTO LEIS</t>
  </si>
  <si>
    <t>WELITA SANTOS BATISTA</t>
  </si>
  <si>
    <t>AMURJACY NATIVIDADE AROUCHE</t>
  </si>
  <si>
    <t>ANA MARIA PAIVA FERNANDES BRANDAO</t>
  </si>
  <si>
    <t>ANA TEREZA DA SILVA MACHADO</t>
  </si>
  <si>
    <t>ANALICE ROCHA DOS SANTOS CORDEIRO</t>
  </si>
  <si>
    <t>CELIA REGINA GALIZA DOS SANTOS</t>
  </si>
  <si>
    <t>CONCEICAO DE MARIA VERAS DE JESUS</t>
  </si>
  <si>
    <t>DELMA LUCIA RIBEIRO ALMEIDA DOS REIS</t>
  </si>
  <si>
    <t>ELIZABETH CRISTINA RIBEIRO FURTADO</t>
  </si>
  <si>
    <t>ELIZABETH SANTOS ARAUJO</t>
  </si>
  <si>
    <t>ANTONIA LINDOSO</t>
  </si>
  <si>
    <t>ANTONIO RAIMUNDO BARROS</t>
  </si>
  <si>
    <t>ANA MARIA RODRIGUES DE ARAUJO</t>
  </si>
  <si>
    <t>BENVINDA DE LOURDES SOARES DOS SANTOS</t>
  </si>
  <si>
    <t>BEATRIZ RIBEIRO DA SILVA</t>
  </si>
  <si>
    <t>CONCEIÇAO DE MARIA PINHEIRO RABELO</t>
  </si>
  <si>
    <t>FRANCISCA DAS CHAGAS ALMEIDA MONTELES DA SILVA</t>
  </si>
  <si>
    <t>IVANIL EVANGELISTA SOUZA</t>
  </si>
  <si>
    <t>ILZETE AMARAL DA COSTA</t>
  </si>
  <si>
    <t>JOSEFINA AIRES MUNIZ</t>
  </si>
  <si>
    <t>MAYRONILDE GONÇALVES MEDEIROS PEREIRA</t>
  </si>
  <si>
    <t>MARIA DO SOCORRO RODRIGUES</t>
  </si>
  <si>
    <t>MARIA OZANA MOREIRA NASCIMENTO</t>
  </si>
  <si>
    <t>MARIA DA GUIA DA SILVA CUNHA</t>
  </si>
  <si>
    <t>MARIA APARECIDA NASSAR SANTOS</t>
  </si>
  <si>
    <t>CARMEM REIS COSTA</t>
  </si>
  <si>
    <t>MARIA MADALENA FREITAS PINHEIRO</t>
  </si>
  <si>
    <t>ANGELICA MARIA CASTRO DAS NEVES</t>
  </si>
  <si>
    <t>MARIA FRANCINETE LIMA GATINHO</t>
  </si>
  <si>
    <t>RAIMUNDA BATISTA DOS SANTOS ROSA</t>
  </si>
  <si>
    <t>MARIA IRACI SILVA E SILVA</t>
  </si>
  <si>
    <t>MARIA IRENE DA SILVA CONCEICAO</t>
  </si>
  <si>
    <t>MARIA MARCELINA PEREIRA NOGUEIRA</t>
  </si>
  <si>
    <t>NILDE FERREIRA SARAIVA</t>
  </si>
  <si>
    <t>CLENES MARTINHA CORDEIRO CUTRIM</t>
  </si>
  <si>
    <t>CARMEM MARIA SILVA CASTRO</t>
  </si>
  <si>
    <t>MARIA DO CARMO SILVA</t>
  </si>
  <si>
    <t>MARILURDES SILVA COSTA</t>
  </si>
  <si>
    <t>JURANDIR FERREIRA</t>
  </si>
  <si>
    <t>MARIA DO SOCORRO CALDAS MUNIZ</t>
  </si>
  <si>
    <t>CONCEICAO DE MARIA MARREIROS DE SOUZA</t>
  </si>
  <si>
    <t>MAYRLA APARECIDA FERREIRA VIEIRA</t>
  </si>
  <si>
    <t>ANTONIO LUIS ALENCAR CHAVES</t>
  </si>
  <si>
    <t>JOAO CARLOS SOUZA</t>
  </si>
  <si>
    <t>ZILDA SANTIAGO DA COSTA</t>
  </si>
  <si>
    <t>JOAO BATISTA ARAUJO DA SILVA</t>
  </si>
  <si>
    <t>MARIA DO ROZARIO COSTA PEREIRA</t>
  </si>
  <si>
    <t>MARIA DE LOURDES ARAUJO DA SILVA</t>
  </si>
  <si>
    <t>ANTONIA LUCIA DE MESQUITA MORAIS</t>
  </si>
  <si>
    <t>ZILDA DE JESUS DOS SANTOS</t>
  </si>
  <si>
    <t>PEDRO SILVA TRINDADE</t>
  </si>
  <si>
    <t>EDUARDO CELSO FARIAS FERREIRA</t>
  </si>
  <si>
    <t>LUZINETE VIEIRA RIBEIRO</t>
  </si>
  <si>
    <t>CLAUDIA REGINA MACIEL AZEVEDO</t>
  </si>
  <si>
    <t>MARIA ANTONIA RODRIGUES SILVA</t>
  </si>
  <si>
    <t>MARIA CELIA GONCALVES DE SOUSA</t>
  </si>
  <si>
    <t>JALILA DE JESUS RIBEIRO RIOS</t>
  </si>
  <si>
    <t>JOSE MARIA DA CRUZ TAVARES</t>
  </si>
  <si>
    <t>JOSE CARLOS MAFRA SANTOS</t>
  </si>
  <si>
    <t>JOSEFA DE LIMA SODRE</t>
  </si>
  <si>
    <t>JOSE ANTONIO PEREIRA</t>
  </si>
  <si>
    <t>LEONITE DE JESUS BITTENCOURT ABREU</t>
  </si>
  <si>
    <t>LEOMAR DE FATIMA FRAZAO DA SILVA</t>
  </si>
  <si>
    <t>MARIA DO SOCORRO GUIMARAES CORREA</t>
  </si>
  <si>
    <t>MARLY GAMA MATOS</t>
  </si>
  <si>
    <t>MARIA DOS REMEDIOS BEZERRA LIMA</t>
  </si>
  <si>
    <t>MARIA APARECIDA SILVA DOS REIS</t>
  </si>
  <si>
    <t>MARIA DE FATIMA DE JESUS LEITE REIS</t>
  </si>
  <si>
    <t>MARIA IRACEMA DE FLORES BARBOSA</t>
  </si>
  <si>
    <t>MARIA ROCHA DE OLIVEIRA</t>
  </si>
  <si>
    <t>PAULA MARQUES DE ALMEIDA</t>
  </si>
  <si>
    <t>GEDEAO MORAIS TEIXEIRA</t>
  </si>
  <si>
    <t>JOSE MORAES LIMA</t>
  </si>
  <si>
    <t>MARIA DOS REMEDIOS FONSECA MARINHO</t>
  </si>
  <si>
    <t>BERENICE RODRIGUES DE SOUSA GUIMARAES</t>
  </si>
  <si>
    <t>MARIA DO SOCORRO RIBEIRO DA SILVA FROTA</t>
  </si>
  <si>
    <t>EDILEUZA LOPES DA SILVA</t>
  </si>
  <si>
    <t>MARIA JUDITE PEREIRA DA SILVA</t>
  </si>
  <si>
    <t>IVANNE EYRE COSTA VILARINS</t>
  </si>
  <si>
    <t>NEUSA TOME DA SILVA VILARINS</t>
  </si>
  <si>
    <t>RAIMUNDA MATIAS IBIAPINO SILVA</t>
  </si>
  <si>
    <t>MARIA JOSE SILVA</t>
  </si>
  <si>
    <t>RAIMUNDA NONATA ROSA</t>
  </si>
  <si>
    <t>CLAUDIA CRISTINA VIANA PEREIRA</t>
  </si>
  <si>
    <t>LUZIA BARBOSA DE CARVALHO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</si>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</sst>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]#,##0.00"/>
    <numFmt numFmtId="165" formatCode="&quot;R$&quot;\ #,##0.00"/>
  </numFmts>
  <fonts count="6" x14ac:knownFonts="1">
    <font>
      <sz val="10"/>
      <color rgb="FF000000"/>
      <name val="Arial"/>
    </font>
    <font>
      <b/>
      <sz val="9"/>
      <color rgb="FF000000"/>
      <name val="Calibri"/>
    </font>
    <font>
      <sz val="10"/>
      <name val="Arial"/>
    </font>
    <font>
      <sz val="9"/>
      <name val="Calibri"/>
    </font>
    <font>
      <sz val="9"/>
      <color rgb="FF000000"/>
      <name val="Calibri"/>
    </font>
    <font>
      <sz val="9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1">
    <xf numFmtId="0" fontId="0" fillId="0" borderId="0" xfId="0" applyFont="1" applyAlignment="1"/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9" fontId="1" fillId="2" borderId="5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/>
    <xf numFmtId="165" fontId="4" fillId="0" borderId="7" xfId="0" applyNumberFormat="1" applyFont="1" applyBorder="1" applyAlignment="1">
      <alignment horizontal="center"/>
    </xf>
    <xf numFmtId="164" fontId="4" fillId="0" borderId="7" xfId="0" applyNumberFormat="1" applyFont="1" applyBorder="1" applyAlignment="1"/>
    <xf numFmtId="9" fontId="4" fillId="0" borderId="7" xfId="0" applyNumberFormat="1" applyFont="1" applyBorder="1" applyAlignment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/>
    <xf numFmtId="165" fontId="4" fillId="0" borderId="10" xfId="0" applyNumberFormat="1" applyFont="1" applyBorder="1" applyAlignment="1">
      <alignment horizontal="center"/>
    </xf>
    <xf numFmtId="164" fontId="4" fillId="0" borderId="10" xfId="0" applyNumberFormat="1" applyFont="1" applyBorder="1" applyAlignment="1"/>
    <xf numFmtId="9" fontId="4" fillId="0" borderId="10" xfId="0" applyNumberFormat="1" applyFont="1" applyBorder="1" applyAlignment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/>
    <xf numFmtId="165" fontId="4" fillId="0" borderId="13" xfId="0" applyNumberFormat="1" applyFont="1" applyBorder="1" applyAlignment="1">
      <alignment horizontal="center"/>
    </xf>
    <xf numFmtId="164" fontId="4" fillId="0" borderId="13" xfId="0" applyNumberFormat="1" applyFont="1" applyBorder="1" applyAlignment="1"/>
    <xf numFmtId="9" fontId="4" fillId="0" borderId="13" xfId="0" applyNumberFormat="1" applyFont="1" applyBorder="1" applyAlignment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Font="1" applyBorder="1" applyAlignment="1"/>
    <xf numFmtId="165" fontId="4" fillId="0" borderId="15" xfId="0" applyNumberFormat="1" applyFont="1" applyBorder="1" applyAlignment="1">
      <alignment horizontal="center"/>
    </xf>
    <xf numFmtId="164" fontId="4" fillId="0" borderId="15" xfId="0" applyNumberFormat="1" applyFont="1" applyBorder="1" applyAlignment="1"/>
    <xf numFmtId="9" fontId="4" fillId="0" borderId="15" xfId="0" applyNumberFormat="1" applyFont="1" applyBorder="1" applyAlignment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/>
    <xf numFmtId="165" fontId="4" fillId="0" borderId="4" xfId="0" applyNumberFormat="1" applyFont="1" applyBorder="1" applyAlignment="1">
      <alignment horizontal="center"/>
    </xf>
    <xf numFmtId="164" fontId="4" fillId="0" borderId="4" xfId="0" applyNumberFormat="1" applyFont="1" applyBorder="1" applyAlignment="1"/>
    <xf numFmtId="9" fontId="4" fillId="0" borderId="4" xfId="0" applyNumberFormat="1" applyFont="1" applyBorder="1" applyAlignment="1"/>
    <xf numFmtId="165" fontId="1" fillId="0" borderId="4" xfId="0" applyNumberFormat="1" applyFont="1" applyBorder="1" applyAlignment="1">
      <alignment horizontal="center"/>
    </xf>
    <xf numFmtId="164" fontId="4" fillId="0" borderId="0" xfId="0" applyNumberFormat="1" applyFont="1" applyAlignment="1"/>
    <xf numFmtId="9" fontId="4" fillId="0" borderId="0" xfId="0" applyNumberFormat="1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0" xfId="0" applyNumberFormat="1" applyFont="1" applyBorder="1" applyAlignment="1"/>
    <xf numFmtId="9" fontId="4" fillId="0" borderId="10" xfId="0" applyNumberFormat="1" applyFont="1" applyBorder="1" applyAlignment="1">
      <alignment horizontal="center"/>
    </xf>
    <xf numFmtId="164" fontId="4" fillId="3" borderId="10" xfId="0" applyNumberFormat="1" applyFont="1" applyFill="1" applyBorder="1" applyAlignment="1"/>
    <xf numFmtId="0" fontId="4" fillId="0" borderId="11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/>
    <xf numFmtId="165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4" fillId="0" borderId="4" xfId="0" applyNumberFormat="1" applyFont="1" applyBorder="1" applyAlignment="1"/>
    <xf numFmtId="9" fontId="4" fillId="0" borderId="4" xfId="0" applyNumberFormat="1" applyFont="1" applyBorder="1" applyAlignment="1"/>
    <xf numFmtId="164" fontId="4" fillId="0" borderId="4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164" fontId="4" fillId="3" borderId="4" xfId="0" applyNumberFormat="1" applyFont="1" applyFill="1" applyBorder="1" applyAlignment="1"/>
    <xf numFmtId="0" fontId="4" fillId="0" borderId="19" xfId="0" applyFont="1" applyBorder="1" applyAlignment="1"/>
    <xf numFmtId="0" fontId="4" fillId="0" borderId="17" xfId="0" applyFont="1" applyBorder="1" applyAlignment="1">
      <alignment horizontal="center"/>
    </xf>
    <xf numFmtId="165" fontId="4" fillId="0" borderId="19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64" fontId="4" fillId="0" borderId="19" xfId="0" applyNumberFormat="1" applyFont="1" applyBorder="1" applyAlignment="1"/>
    <xf numFmtId="0" fontId="4" fillId="0" borderId="19" xfId="0" applyFont="1" applyBorder="1" applyAlignment="1">
      <alignment horizontal="center"/>
    </xf>
    <xf numFmtId="9" fontId="4" fillId="0" borderId="19" xfId="0" applyNumberFormat="1" applyFont="1" applyBorder="1" applyAlignment="1"/>
    <xf numFmtId="164" fontId="4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9" fontId="4" fillId="0" borderId="19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64" fontId="4" fillId="3" borderId="19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5" xfId="0" applyFont="1" applyBorder="1" applyAlignment="1"/>
    <xf numFmtId="0" fontId="4" fillId="0" borderId="1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5" xfId="0" applyFont="1" applyBorder="1" applyAlignment="1"/>
    <xf numFmtId="164" fontId="4" fillId="0" borderId="10" xfId="0" applyNumberFormat="1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164" fontId="4" fillId="0" borderId="5" xfId="0" applyNumberFormat="1" applyFont="1" applyBorder="1" applyAlignment="1"/>
    <xf numFmtId="164" fontId="4" fillId="0" borderId="15" xfId="0" applyNumberFormat="1" applyFont="1" applyBorder="1" applyAlignment="1">
      <alignment horizontal="center"/>
    </xf>
    <xf numFmtId="164" fontId="4" fillId="0" borderId="15" xfId="0" applyNumberFormat="1" applyFont="1" applyBorder="1" applyAlignment="1"/>
    <xf numFmtId="9" fontId="4" fillId="0" borderId="15" xfId="0" applyNumberFormat="1" applyFont="1" applyBorder="1" applyAlignment="1">
      <alignment horizontal="center"/>
    </xf>
    <xf numFmtId="9" fontId="4" fillId="0" borderId="15" xfId="0" applyNumberFormat="1" applyFont="1" applyBorder="1" applyAlignment="1"/>
    <xf numFmtId="0" fontId="4" fillId="0" borderId="23" xfId="0" applyFont="1" applyBorder="1" applyAlignment="1">
      <alignment horizontal="center"/>
    </xf>
    <xf numFmtId="164" fontId="4" fillId="3" borderId="15" xfId="0" applyNumberFormat="1" applyFont="1" applyFill="1" applyBorder="1" applyAlignment="1"/>
    <xf numFmtId="9" fontId="4" fillId="0" borderId="5" xfId="0" applyNumberFormat="1" applyFont="1" applyBorder="1" applyAlignment="1"/>
    <xf numFmtId="0" fontId="4" fillId="0" borderId="2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4" fontId="4" fillId="3" borderId="5" xfId="0" applyNumberFormat="1" applyFont="1" applyFill="1" applyBorder="1" applyAlignment="1"/>
    <xf numFmtId="164" fontId="4" fillId="0" borderId="13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9" fontId="4" fillId="0" borderId="13" xfId="0" applyNumberFormat="1" applyFont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165" fontId="4" fillId="0" borderId="13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4" fillId="0" borderId="13" xfId="0" applyNumberFormat="1" applyFont="1" applyBorder="1" applyAlignment="1"/>
    <xf numFmtId="0" fontId="4" fillId="0" borderId="7" xfId="0" applyFont="1" applyBorder="1" applyAlignment="1"/>
    <xf numFmtId="164" fontId="4" fillId="3" borderId="13" xfId="0" applyNumberFormat="1" applyFont="1" applyFill="1" applyBorder="1" applyAlignment="1"/>
    <xf numFmtId="164" fontId="4" fillId="0" borderId="7" xfId="0" applyNumberFormat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164" fontId="4" fillId="3" borderId="7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64" fontId="4" fillId="0" borderId="7" xfId="0" applyNumberFormat="1" applyFont="1" applyBorder="1" applyAlignment="1"/>
    <xf numFmtId="164" fontId="4" fillId="0" borderId="7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4" xfId="0" applyFont="1" applyBorder="1" applyAlignment="1"/>
    <xf numFmtId="0" fontId="4" fillId="0" borderId="15" xfId="0" applyFont="1" applyBorder="1" applyAlignment="1"/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19" xfId="0" applyFont="1" applyBorder="1" applyAlignment="1"/>
    <xf numFmtId="0" fontId="4" fillId="0" borderId="20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65" fontId="4" fillId="0" borderId="15" xfId="0" applyNumberFormat="1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13" xfId="0" applyFont="1" applyBorder="1" applyAlignment="1"/>
    <xf numFmtId="0" fontId="4" fillId="0" borderId="10" xfId="0" applyFont="1" applyBorder="1" applyAlignment="1"/>
    <xf numFmtId="0" fontId="4" fillId="0" borderId="13" xfId="0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9" fontId="4" fillId="0" borderId="7" xfId="0" applyNumberFormat="1" applyFont="1" applyBorder="1" applyAlignment="1"/>
    <xf numFmtId="0" fontId="4" fillId="0" borderId="7" xfId="0" applyFont="1" applyBorder="1" applyAlignment="1">
      <alignment horizontal="center"/>
    </xf>
    <xf numFmtId="9" fontId="4" fillId="0" borderId="10" xfId="0" applyNumberFormat="1" applyFont="1" applyBorder="1" applyAlignment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/>
    <xf numFmtId="165" fontId="4" fillId="0" borderId="7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9" fontId="4" fillId="0" borderId="13" xfId="0" applyNumberFormat="1" applyFont="1" applyBorder="1" applyAlignment="1"/>
    <xf numFmtId="9" fontId="4" fillId="0" borderId="15" xfId="0" applyNumberFormat="1" applyFont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165" fontId="4" fillId="0" borderId="19" xfId="0" applyNumberFormat="1" applyFont="1" applyBorder="1" applyAlignment="1">
      <alignment horizontal="center"/>
    </xf>
    <xf numFmtId="164" fontId="4" fillId="0" borderId="19" xfId="0" applyNumberFormat="1" applyFont="1" applyBorder="1" applyAlignment="1"/>
    <xf numFmtId="9" fontId="4" fillId="0" borderId="19" xfId="0" applyNumberFormat="1" applyFont="1" applyBorder="1" applyAlignment="1"/>
    <xf numFmtId="164" fontId="1" fillId="0" borderId="4" xfId="0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2" borderId="5" xfId="0" applyFont="1" applyFill="1" applyBorder="1" applyAlignment="1">
      <alignment horizontal="right"/>
    </xf>
    <xf numFmtId="165" fontId="4" fillId="0" borderId="7" xfId="0" applyNumberFormat="1" applyFont="1" applyBorder="1" applyAlignment="1">
      <alignment horizontal="right"/>
    </xf>
    <xf numFmtId="0" fontId="1" fillId="2" borderId="30" xfId="0" applyFont="1" applyFill="1" applyBorder="1" applyAlignment="1"/>
    <xf numFmtId="0" fontId="1" fillId="2" borderId="0" xfId="0" applyFont="1" applyFill="1" applyAlignment="1"/>
    <xf numFmtId="0" fontId="1" fillId="2" borderId="4" xfId="0" applyFont="1" applyFill="1" applyBorder="1" applyAlignment="1">
      <alignment horizontal="center"/>
    </xf>
    <xf numFmtId="165" fontId="4" fillId="0" borderId="10" xfId="0" applyNumberFormat="1" applyFont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165" fontId="4" fillId="0" borderId="13" xfId="0" applyNumberFormat="1" applyFont="1" applyBorder="1" applyAlignment="1">
      <alignment horizontal="right"/>
    </xf>
    <xf numFmtId="165" fontId="4" fillId="0" borderId="15" xfId="0" applyNumberFormat="1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/>
    <xf numFmtId="0" fontId="4" fillId="0" borderId="11" xfId="0" applyFont="1" applyBorder="1" applyAlignment="1"/>
    <xf numFmtId="0" fontId="4" fillId="0" borderId="17" xfId="0" applyFont="1" applyBorder="1" applyAlignment="1"/>
    <xf numFmtId="0" fontId="4" fillId="0" borderId="19" xfId="0" applyFont="1" applyBorder="1" applyAlignment="1">
      <alignment horizontal="center"/>
    </xf>
    <xf numFmtId="0" fontId="4" fillId="0" borderId="19" xfId="0" applyFont="1" applyBorder="1" applyAlignment="1"/>
    <xf numFmtId="165" fontId="4" fillId="0" borderId="7" xfId="0" applyNumberFormat="1" applyFont="1" applyBorder="1" applyAlignment="1">
      <alignment horizontal="right"/>
    </xf>
    <xf numFmtId="0" fontId="4" fillId="0" borderId="20" xfId="0" applyFont="1" applyBorder="1" applyAlignment="1"/>
    <xf numFmtId="165" fontId="4" fillId="0" borderId="10" xfId="0" applyNumberFormat="1" applyFont="1" applyBorder="1" applyAlignment="1">
      <alignment horizontal="right"/>
    </xf>
    <xf numFmtId="165" fontId="4" fillId="0" borderId="15" xfId="0" applyNumberFormat="1" applyFont="1" applyBorder="1" applyAlignment="1">
      <alignment horizontal="right"/>
    </xf>
    <xf numFmtId="0" fontId="4" fillId="0" borderId="4" xfId="0" applyFont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165" fontId="4" fillId="0" borderId="13" xfId="0" applyNumberFormat="1" applyFont="1" applyBorder="1" applyAlignment="1">
      <alignment horizontal="right"/>
    </xf>
    <xf numFmtId="164" fontId="4" fillId="3" borderId="7" xfId="0" applyNumberFormat="1" applyFont="1" applyFill="1" applyBorder="1" applyAlignment="1"/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2" xfId="0" applyFont="1" applyBorder="1" applyAlignment="1"/>
    <xf numFmtId="165" fontId="4" fillId="0" borderId="32" xfId="0" applyNumberFormat="1" applyFont="1" applyBorder="1" applyAlignment="1">
      <alignment horizontal="right"/>
    </xf>
    <xf numFmtId="164" fontId="4" fillId="0" borderId="32" xfId="0" applyNumberFormat="1" applyFont="1" applyBorder="1" applyAlignment="1"/>
    <xf numFmtId="9" fontId="4" fillId="0" borderId="32" xfId="0" applyNumberFormat="1" applyFont="1" applyBorder="1" applyAlignment="1"/>
    <xf numFmtId="0" fontId="4" fillId="0" borderId="32" xfId="0" applyFont="1" applyBorder="1" applyAlignment="1"/>
    <xf numFmtId="0" fontId="4" fillId="0" borderId="3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165" fontId="1" fillId="0" borderId="4" xfId="0" applyNumberFormat="1" applyFont="1" applyBorder="1" applyAlignment="1"/>
    <xf numFmtId="0" fontId="4" fillId="0" borderId="0" xfId="0" applyFont="1" applyAlignment="1"/>
    <xf numFmtId="165" fontId="4" fillId="0" borderId="4" xfId="0" applyNumberFormat="1" applyFont="1" applyBorder="1" applyAlignment="1">
      <alignment horizontal="right"/>
    </xf>
    <xf numFmtId="164" fontId="1" fillId="2" borderId="4" xfId="0" applyNumberFormat="1" applyFont="1" applyFill="1" applyBorder="1" applyAlignment="1">
      <alignment horizontal="center"/>
    </xf>
    <xf numFmtId="9" fontId="1" fillId="2" borderId="4" xfId="0" applyNumberFormat="1" applyFont="1" applyFill="1" applyBorder="1" applyAlignment="1">
      <alignment horizontal="center"/>
    </xf>
    <xf numFmtId="164" fontId="4" fillId="3" borderId="19" xfId="0" applyNumberFormat="1" applyFont="1" applyFill="1" applyBorder="1" applyAlignment="1"/>
    <xf numFmtId="165" fontId="1" fillId="0" borderId="4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/>
    <xf numFmtId="165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/>
    <xf numFmtId="9" fontId="3" fillId="0" borderId="7" xfId="0" applyNumberFormat="1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5" xfId="0" applyFont="1" applyBorder="1" applyAlignment="1"/>
    <xf numFmtId="165" fontId="4" fillId="0" borderId="35" xfId="0" applyNumberFormat="1" applyFont="1" applyBorder="1" applyAlignment="1">
      <alignment horizontal="center"/>
    </xf>
    <xf numFmtId="164" fontId="4" fillId="0" borderId="35" xfId="0" applyNumberFormat="1" applyFont="1" applyBorder="1" applyAlignment="1"/>
    <xf numFmtId="9" fontId="4" fillId="0" borderId="35" xfId="0" applyNumberFormat="1" applyFont="1" applyBorder="1" applyAlignment="1"/>
    <xf numFmtId="164" fontId="4" fillId="3" borderId="35" xfId="0" applyNumberFormat="1" applyFont="1" applyFill="1" applyBorder="1" applyAlignment="1"/>
    <xf numFmtId="0" fontId="4" fillId="0" borderId="36" xfId="0" applyFont="1" applyBorder="1" applyAlignment="1">
      <alignment horizontal="center"/>
    </xf>
    <xf numFmtId="165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5" fontId="4" fillId="0" borderId="35" xfId="0" applyNumberFormat="1" applyFont="1" applyBorder="1" applyAlignment="1">
      <alignment horizontal="center"/>
    </xf>
    <xf numFmtId="165" fontId="4" fillId="0" borderId="32" xfId="0" applyNumberFormat="1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13" xfId="0" applyFont="1" applyBorder="1" applyAlignment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/>
    <xf numFmtId="165" fontId="5" fillId="0" borderId="10" xfId="0" applyNumberFormat="1" applyFont="1" applyBorder="1" applyAlignment="1">
      <alignment horizontal="center"/>
    </xf>
    <xf numFmtId="164" fontId="5" fillId="0" borderId="10" xfId="0" applyNumberFormat="1" applyFont="1" applyBorder="1" applyAlignment="1"/>
    <xf numFmtId="9" fontId="5" fillId="0" borderId="10" xfId="0" applyNumberFormat="1" applyFont="1" applyBorder="1" applyAlignment="1"/>
    <xf numFmtId="0" fontId="5" fillId="0" borderId="1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/>
    <xf numFmtId="165" fontId="5" fillId="0" borderId="15" xfId="0" applyNumberFormat="1" applyFont="1" applyBorder="1" applyAlignment="1">
      <alignment horizontal="center"/>
    </xf>
    <xf numFmtId="164" fontId="5" fillId="0" borderId="15" xfId="0" applyNumberFormat="1" applyFont="1" applyBorder="1" applyAlignment="1"/>
    <xf numFmtId="9" fontId="5" fillId="0" borderId="15" xfId="0" applyNumberFormat="1" applyFont="1" applyBorder="1" applyAlignment="1"/>
    <xf numFmtId="0" fontId="5" fillId="0" borderId="2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/>
    <xf numFmtId="165" fontId="5" fillId="0" borderId="13" xfId="0" applyNumberFormat="1" applyFont="1" applyBorder="1" applyAlignment="1">
      <alignment horizontal="center"/>
    </xf>
    <xf numFmtId="164" fontId="5" fillId="0" borderId="13" xfId="0" applyNumberFormat="1" applyFont="1" applyBorder="1" applyAlignment="1"/>
    <xf numFmtId="9" fontId="5" fillId="0" borderId="13" xfId="0" applyNumberFormat="1" applyFont="1" applyBorder="1" applyAlignment="1"/>
    <xf numFmtId="0" fontId="5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5" xfId="0" applyFont="1" applyBorder="1" applyAlignment="1"/>
    <xf numFmtId="0" fontId="4" fillId="0" borderId="24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64" fontId="4" fillId="3" borderId="7" xfId="0" applyNumberFormat="1" applyFont="1" applyFill="1" applyBorder="1" applyAlignment="1"/>
    <xf numFmtId="0" fontId="4" fillId="0" borderId="10" xfId="0" applyFont="1" applyBorder="1" applyAlignment="1">
      <alignment horizontal="center"/>
    </xf>
    <xf numFmtId="164" fontId="4" fillId="3" borderId="10" xfId="0" applyNumberFormat="1" applyFont="1" applyFill="1" applyBorder="1" applyAlignment="1"/>
    <xf numFmtId="164" fontId="4" fillId="3" borderId="15" xfId="0" applyNumberFormat="1" applyFont="1" applyFill="1" applyBorder="1" applyAlignment="1"/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9" fontId="4" fillId="0" borderId="35" xfId="0" applyNumberFormat="1" applyFont="1" applyBorder="1" applyAlignment="1"/>
    <xf numFmtId="164" fontId="4" fillId="3" borderId="35" xfId="0" applyNumberFormat="1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7"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  <dxf>
      <font>
        <color rgb="FF0000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7706-8470-4A65-AD23-25A1CEE7DEC1}">
  <dimension ref="A1:A143"/>
  <sheetViews>
    <sheetView tabSelected="1" workbookViewId="0"/>
  </sheetViews>
  <sheetFormatPr defaultRowHeight="12.75" x14ac:dyDescent="0.2"/>
  <cols>
    <col min="1" max="1" width="10" bestFit="1" customWidth="1"/>
  </cols>
  <sheetData>
    <row r="1" spans="1:1" x14ac:dyDescent="0.2">
      <c r="A1" t="s">
        <v>1246</v>
      </c>
    </row>
    <row r="2" spans="1:1" x14ac:dyDescent="0.2">
      <c r="A2">
        <v>101762007</v>
      </c>
    </row>
    <row r="3" spans="1:1" x14ac:dyDescent="0.2">
      <c r="A3">
        <v>132182000</v>
      </c>
    </row>
    <row r="4" spans="1:1" x14ac:dyDescent="0.2">
      <c r="A4">
        <v>13972003</v>
      </c>
    </row>
    <row r="5" spans="1:1" x14ac:dyDescent="0.2">
      <c r="A5">
        <v>47732005</v>
      </c>
    </row>
    <row r="6" spans="1:1" x14ac:dyDescent="0.2">
      <c r="A6">
        <v>8762007</v>
      </c>
    </row>
    <row r="7" spans="1:1" x14ac:dyDescent="0.2">
      <c r="A7">
        <v>88632011</v>
      </c>
    </row>
    <row r="8" spans="1:1" x14ac:dyDescent="0.2">
      <c r="A8">
        <v>135882002</v>
      </c>
    </row>
    <row r="9" spans="1:1" x14ac:dyDescent="0.2">
      <c r="A9">
        <v>204382002</v>
      </c>
    </row>
    <row r="10" spans="1:1" x14ac:dyDescent="0.2">
      <c r="A10">
        <v>305292006</v>
      </c>
    </row>
    <row r="11" spans="1:1" x14ac:dyDescent="0.2">
      <c r="A11">
        <v>344192009</v>
      </c>
    </row>
    <row r="12" spans="1:1" x14ac:dyDescent="0.2">
      <c r="A12">
        <v>288232015</v>
      </c>
    </row>
    <row r="13" spans="1:1" x14ac:dyDescent="0.2">
      <c r="A13">
        <v>87482015</v>
      </c>
    </row>
    <row r="14" spans="1:1" x14ac:dyDescent="0.2">
      <c r="A14">
        <v>93902015</v>
      </c>
    </row>
    <row r="15" spans="1:1" x14ac:dyDescent="0.2">
      <c r="A15">
        <v>165472015</v>
      </c>
    </row>
    <row r="16" spans="1:1" x14ac:dyDescent="0.2">
      <c r="A16">
        <v>95102003</v>
      </c>
    </row>
    <row r="17" spans="1:1" x14ac:dyDescent="0.2">
      <c r="A17">
        <v>123102009</v>
      </c>
    </row>
    <row r="18" spans="1:1" x14ac:dyDescent="0.2">
      <c r="A18">
        <v>120512005</v>
      </c>
    </row>
    <row r="19" spans="1:1" x14ac:dyDescent="0.2">
      <c r="A19">
        <v>33532005</v>
      </c>
    </row>
    <row r="20" spans="1:1" x14ac:dyDescent="0.2">
      <c r="A20">
        <v>226022007</v>
      </c>
    </row>
    <row r="21" spans="1:1" x14ac:dyDescent="0.2">
      <c r="A21">
        <v>253262007</v>
      </c>
    </row>
    <row r="22" spans="1:1" x14ac:dyDescent="0.2">
      <c r="A22">
        <v>27432005</v>
      </c>
    </row>
    <row r="23" spans="1:1" x14ac:dyDescent="0.2">
      <c r="A23">
        <v>217172008</v>
      </c>
    </row>
    <row r="24" spans="1:1" x14ac:dyDescent="0.2">
      <c r="A24">
        <v>231362008</v>
      </c>
    </row>
    <row r="25" spans="1:1" x14ac:dyDescent="0.2">
      <c r="A25">
        <v>66222004</v>
      </c>
    </row>
    <row r="26" spans="1:1" x14ac:dyDescent="0.2">
      <c r="A26">
        <v>160312010</v>
      </c>
    </row>
    <row r="27" spans="1:1" x14ac:dyDescent="0.2">
      <c r="A27">
        <v>290172008</v>
      </c>
    </row>
    <row r="28" spans="1:1" x14ac:dyDescent="0.2">
      <c r="A28">
        <v>182392008</v>
      </c>
    </row>
    <row r="29" spans="1:1" x14ac:dyDescent="0.2">
      <c r="A29">
        <v>47002005</v>
      </c>
    </row>
    <row r="30" spans="1:1" x14ac:dyDescent="0.2">
      <c r="A30">
        <v>87902006</v>
      </c>
    </row>
    <row r="31" spans="1:1" x14ac:dyDescent="0.2">
      <c r="A31">
        <v>165872006</v>
      </c>
    </row>
    <row r="32" spans="1:1" x14ac:dyDescent="0.2">
      <c r="A32">
        <v>140292009</v>
      </c>
    </row>
    <row r="33" spans="1:1" x14ac:dyDescent="0.2">
      <c r="A33">
        <v>60142008</v>
      </c>
    </row>
    <row r="34" spans="1:1" x14ac:dyDescent="0.2">
      <c r="A34">
        <v>150732002</v>
      </c>
    </row>
    <row r="35" spans="1:1" x14ac:dyDescent="0.2">
      <c r="A35">
        <v>21612007</v>
      </c>
    </row>
    <row r="36" spans="1:1" x14ac:dyDescent="0.2">
      <c r="A36">
        <v>183562006</v>
      </c>
    </row>
    <row r="37" spans="1:1" x14ac:dyDescent="0.2">
      <c r="A37">
        <v>58952005</v>
      </c>
    </row>
    <row r="38" spans="1:1" x14ac:dyDescent="0.2">
      <c r="A38">
        <v>27472005</v>
      </c>
    </row>
    <row r="39" spans="1:1" x14ac:dyDescent="0.2">
      <c r="A39">
        <v>281542006</v>
      </c>
    </row>
    <row r="40" spans="1:1" x14ac:dyDescent="0.2">
      <c r="A40">
        <v>177962006</v>
      </c>
    </row>
    <row r="41" spans="1:1" x14ac:dyDescent="0.2">
      <c r="A41">
        <v>48142005</v>
      </c>
    </row>
    <row r="42" spans="1:1" x14ac:dyDescent="0.2">
      <c r="A42">
        <v>47712005</v>
      </c>
    </row>
    <row r="43" spans="1:1" x14ac:dyDescent="0.2">
      <c r="A43">
        <v>218952006</v>
      </c>
    </row>
    <row r="44" spans="1:1" x14ac:dyDescent="0.2">
      <c r="A44">
        <v>119572005</v>
      </c>
    </row>
    <row r="45" spans="1:1" x14ac:dyDescent="0.2">
      <c r="A45">
        <v>226462006</v>
      </c>
    </row>
    <row r="46" spans="1:1" x14ac:dyDescent="0.2">
      <c r="A46">
        <v>26582005</v>
      </c>
    </row>
    <row r="47" spans="1:1" x14ac:dyDescent="0.2">
      <c r="A47">
        <v>281032006</v>
      </c>
    </row>
    <row r="48" spans="1:1" x14ac:dyDescent="0.2">
      <c r="A48">
        <v>36572005</v>
      </c>
    </row>
    <row r="49" spans="1:1" x14ac:dyDescent="0.2">
      <c r="A49">
        <v>182402008</v>
      </c>
    </row>
    <row r="50" spans="1:1" x14ac:dyDescent="0.2">
      <c r="A50">
        <v>133542005</v>
      </c>
    </row>
    <row r="51" spans="1:1" x14ac:dyDescent="0.2">
      <c r="A51">
        <v>330592008</v>
      </c>
    </row>
    <row r="52" spans="1:1" x14ac:dyDescent="0.2">
      <c r="A52">
        <v>178172006</v>
      </c>
    </row>
    <row r="53" spans="1:1" x14ac:dyDescent="0.2">
      <c r="A53">
        <v>53982006</v>
      </c>
    </row>
    <row r="54" spans="1:1" x14ac:dyDescent="0.2">
      <c r="A54">
        <v>48332005</v>
      </c>
    </row>
    <row r="55" spans="1:1" x14ac:dyDescent="0.2">
      <c r="A55">
        <v>46932005</v>
      </c>
    </row>
    <row r="56" spans="1:1" x14ac:dyDescent="0.2">
      <c r="A56">
        <v>235042008</v>
      </c>
    </row>
    <row r="57" spans="1:1" x14ac:dyDescent="0.2">
      <c r="A57">
        <v>184252008</v>
      </c>
    </row>
    <row r="58" spans="1:1" x14ac:dyDescent="0.2">
      <c r="A58">
        <v>87912006</v>
      </c>
    </row>
    <row r="59" spans="1:1" x14ac:dyDescent="0.2">
      <c r="A59">
        <v>51582008</v>
      </c>
    </row>
    <row r="60" spans="1:1" x14ac:dyDescent="0.2">
      <c r="A60">
        <v>235362008</v>
      </c>
    </row>
    <row r="61" spans="1:1" x14ac:dyDescent="0.2">
      <c r="A61">
        <v>53602009</v>
      </c>
    </row>
    <row r="62" spans="1:1" x14ac:dyDescent="0.2">
      <c r="A62">
        <v>12812007</v>
      </c>
    </row>
    <row r="63" spans="1:1" x14ac:dyDescent="0.2">
      <c r="A63">
        <v>65462006</v>
      </c>
    </row>
    <row r="64" spans="1:1" x14ac:dyDescent="0.2">
      <c r="A64">
        <v>160352010</v>
      </c>
    </row>
    <row r="65" spans="1:1" x14ac:dyDescent="0.2">
      <c r="A65">
        <v>140212009</v>
      </c>
    </row>
    <row r="66" spans="1:1" x14ac:dyDescent="0.2">
      <c r="A66">
        <v>46052008</v>
      </c>
    </row>
    <row r="67" spans="1:1" x14ac:dyDescent="0.2">
      <c r="A67">
        <v>92672005</v>
      </c>
    </row>
    <row r="68" spans="1:1" x14ac:dyDescent="0.2">
      <c r="A68">
        <v>133592005</v>
      </c>
    </row>
    <row r="69" spans="1:1" x14ac:dyDescent="0.2">
      <c r="A69">
        <v>47792005</v>
      </c>
    </row>
    <row r="70" spans="1:1" x14ac:dyDescent="0.2">
      <c r="A70">
        <v>46962005</v>
      </c>
    </row>
    <row r="71" spans="1:1" x14ac:dyDescent="0.2">
      <c r="A71">
        <v>261862008</v>
      </c>
    </row>
    <row r="72" spans="1:1" x14ac:dyDescent="0.2">
      <c r="A72">
        <v>33462005</v>
      </c>
    </row>
    <row r="73" spans="1:1" x14ac:dyDescent="0.2">
      <c r="A73">
        <v>47252005</v>
      </c>
    </row>
    <row r="74" spans="1:1" x14ac:dyDescent="0.2">
      <c r="A74">
        <v>20782005</v>
      </c>
    </row>
    <row r="75" spans="1:1" x14ac:dyDescent="0.2">
      <c r="A75">
        <v>26812005</v>
      </c>
    </row>
    <row r="76" spans="1:1" x14ac:dyDescent="0.2">
      <c r="A76">
        <v>48262005</v>
      </c>
    </row>
    <row r="77" spans="1:1" x14ac:dyDescent="0.2">
      <c r="A77">
        <v>3652006</v>
      </c>
    </row>
    <row r="78" spans="1:1" x14ac:dyDescent="0.2">
      <c r="A78">
        <v>245792008</v>
      </c>
    </row>
    <row r="79" spans="1:1" x14ac:dyDescent="0.2">
      <c r="A79">
        <v>133522005</v>
      </c>
    </row>
    <row r="80" spans="1:1" x14ac:dyDescent="0.2">
      <c r="A80">
        <v>78402005</v>
      </c>
    </row>
    <row r="81" spans="1:1" x14ac:dyDescent="0.2">
      <c r="A81">
        <v>120552005</v>
      </c>
    </row>
    <row r="82" spans="1:1" x14ac:dyDescent="0.2">
      <c r="A82">
        <v>157352007</v>
      </c>
    </row>
    <row r="83" spans="1:1" x14ac:dyDescent="0.2">
      <c r="A83">
        <v>305202006</v>
      </c>
    </row>
    <row r="84" spans="1:1" x14ac:dyDescent="0.2">
      <c r="A84">
        <v>33802005</v>
      </c>
    </row>
    <row r="85" spans="1:1" x14ac:dyDescent="0.2">
      <c r="A85">
        <v>160362010</v>
      </c>
    </row>
    <row r="86" spans="1:1" x14ac:dyDescent="0.2">
      <c r="A86">
        <v>264152006</v>
      </c>
    </row>
    <row r="87" spans="1:1" x14ac:dyDescent="0.2">
      <c r="A87">
        <v>23562008</v>
      </c>
    </row>
    <row r="88" spans="1:1" x14ac:dyDescent="0.2">
      <c r="A88">
        <v>165812006</v>
      </c>
    </row>
    <row r="89" spans="1:1" x14ac:dyDescent="0.2">
      <c r="A89">
        <v>48292005</v>
      </c>
    </row>
    <row r="90" spans="1:1" x14ac:dyDescent="0.2">
      <c r="A90">
        <v>12412007</v>
      </c>
    </row>
    <row r="91" spans="1:1" x14ac:dyDescent="0.2">
      <c r="A91">
        <v>191352002</v>
      </c>
    </row>
    <row r="92" spans="1:1" x14ac:dyDescent="0.2">
      <c r="A92">
        <v>246532010</v>
      </c>
    </row>
    <row r="93" spans="1:1" x14ac:dyDescent="0.2">
      <c r="A93">
        <v>148052008</v>
      </c>
    </row>
    <row r="94" spans="1:1" x14ac:dyDescent="0.2">
      <c r="A94">
        <v>191512010</v>
      </c>
    </row>
    <row r="95" spans="1:1" x14ac:dyDescent="0.2">
      <c r="A95">
        <v>48712005</v>
      </c>
    </row>
    <row r="96" spans="1:1" x14ac:dyDescent="0.2">
      <c r="A96">
        <v>123142009</v>
      </c>
    </row>
    <row r="97" spans="1:1" x14ac:dyDescent="0.2">
      <c r="A97">
        <v>27062005</v>
      </c>
    </row>
    <row r="98" spans="1:1" x14ac:dyDescent="0.2">
      <c r="A98">
        <v>26672005</v>
      </c>
    </row>
    <row r="99" spans="1:1" x14ac:dyDescent="0.2">
      <c r="A99">
        <v>3032005</v>
      </c>
    </row>
    <row r="100" spans="1:1" x14ac:dyDescent="0.2">
      <c r="A100">
        <v>181512006</v>
      </c>
    </row>
    <row r="101" spans="1:1" x14ac:dyDescent="0.2">
      <c r="A101">
        <v>47942005</v>
      </c>
    </row>
    <row r="102" spans="1:1" x14ac:dyDescent="0.2">
      <c r="A102">
        <v>165862002</v>
      </c>
    </row>
    <row r="103" spans="1:1" x14ac:dyDescent="0.2">
      <c r="A103">
        <v>140232009</v>
      </c>
    </row>
    <row r="104" spans="1:1" x14ac:dyDescent="0.2">
      <c r="A104">
        <v>182692010</v>
      </c>
    </row>
    <row r="105" spans="1:1" x14ac:dyDescent="0.2">
      <c r="A105">
        <v>167872008</v>
      </c>
    </row>
    <row r="106" spans="1:1" x14ac:dyDescent="0.2">
      <c r="A106">
        <v>119712005</v>
      </c>
    </row>
    <row r="107" spans="1:1" x14ac:dyDescent="0.2">
      <c r="A107">
        <v>205452004</v>
      </c>
    </row>
    <row r="108" spans="1:1" x14ac:dyDescent="0.2">
      <c r="A108">
        <v>235152007</v>
      </c>
    </row>
    <row r="109" spans="1:1" x14ac:dyDescent="0.2">
      <c r="A109">
        <v>92962005</v>
      </c>
    </row>
    <row r="110" spans="1:1" x14ac:dyDescent="0.2">
      <c r="A110">
        <v>89172004</v>
      </c>
    </row>
    <row r="111" spans="1:1" x14ac:dyDescent="0.2">
      <c r="A111">
        <v>58942005</v>
      </c>
    </row>
    <row r="112" spans="1:1" x14ac:dyDescent="0.2">
      <c r="A112">
        <v>3022005</v>
      </c>
    </row>
    <row r="113" spans="1:1" x14ac:dyDescent="0.2">
      <c r="A113">
        <v>187912002</v>
      </c>
    </row>
    <row r="114" spans="1:1" x14ac:dyDescent="0.2">
      <c r="A114">
        <v>342402008</v>
      </c>
    </row>
    <row r="115" spans="1:1" x14ac:dyDescent="0.2">
      <c r="A115">
        <v>184272008</v>
      </c>
    </row>
    <row r="116" spans="1:1" x14ac:dyDescent="0.2">
      <c r="A116">
        <v>286442008</v>
      </c>
    </row>
    <row r="117" spans="1:1" x14ac:dyDescent="0.2">
      <c r="A117">
        <v>21592009</v>
      </c>
    </row>
    <row r="118" spans="1:1" x14ac:dyDescent="0.2">
      <c r="A118">
        <v>305472006</v>
      </c>
    </row>
    <row r="119" spans="1:1" x14ac:dyDescent="0.2">
      <c r="A119">
        <v>52302003</v>
      </c>
    </row>
    <row r="120" spans="1:1" x14ac:dyDescent="0.2">
      <c r="A120">
        <v>247862010</v>
      </c>
    </row>
    <row r="121" spans="1:1" x14ac:dyDescent="0.2">
      <c r="A121">
        <v>66262004</v>
      </c>
    </row>
    <row r="122" spans="1:1" x14ac:dyDescent="0.2">
      <c r="A122">
        <v>27402005</v>
      </c>
    </row>
    <row r="123" spans="1:1" x14ac:dyDescent="0.2">
      <c r="A123">
        <v>242262015</v>
      </c>
    </row>
    <row r="124" spans="1:1" x14ac:dyDescent="0.2">
      <c r="A124">
        <v>20202000</v>
      </c>
    </row>
    <row r="125" spans="1:1" x14ac:dyDescent="0.2">
      <c r="A125">
        <v>255792008</v>
      </c>
    </row>
    <row r="126" spans="1:1" x14ac:dyDescent="0.2">
      <c r="A126">
        <v>255862008</v>
      </c>
    </row>
    <row r="127" spans="1:1" x14ac:dyDescent="0.2">
      <c r="A127">
        <v>298732009</v>
      </c>
    </row>
    <row r="128" spans="1:1" x14ac:dyDescent="0.2">
      <c r="A128">
        <v>152032006</v>
      </c>
    </row>
    <row r="129" spans="1:1" x14ac:dyDescent="0.2">
      <c r="A129">
        <v>281202006</v>
      </c>
    </row>
    <row r="130" spans="1:1" x14ac:dyDescent="0.2">
      <c r="A130">
        <v>87842006</v>
      </c>
    </row>
    <row r="131" spans="1:1" x14ac:dyDescent="0.2">
      <c r="A131">
        <v>49532005</v>
      </c>
    </row>
    <row r="132" spans="1:1" x14ac:dyDescent="0.2">
      <c r="A132">
        <v>20232000</v>
      </c>
    </row>
    <row r="133" spans="1:1" x14ac:dyDescent="0.2">
      <c r="A133">
        <v>112452008</v>
      </c>
    </row>
    <row r="134" spans="1:1" x14ac:dyDescent="0.2">
      <c r="A134">
        <v>3422003</v>
      </c>
    </row>
    <row r="135" spans="1:1" x14ac:dyDescent="0.2">
      <c r="A135">
        <v>27382005</v>
      </c>
    </row>
    <row r="136" spans="1:1" x14ac:dyDescent="0.2">
      <c r="A136">
        <v>157852002</v>
      </c>
    </row>
    <row r="137" spans="1:1" x14ac:dyDescent="0.2">
      <c r="A137">
        <v>46662005</v>
      </c>
    </row>
    <row r="138" spans="1:1" x14ac:dyDescent="0.2">
      <c r="A138">
        <v>191232005</v>
      </c>
    </row>
    <row r="139" spans="1:1" x14ac:dyDescent="0.2">
      <c r="A139">
        <v>276142009</v>
      </c>
    </row>
    <row r="140" spans="1:1" x14ac:dyDescent="0.2">
      <c r="A140">
        <v>115422004</v>
      </c>
    </row>
    <row r="141" spans="1:1" x14ac:dyDescent="0.2">
      <c r="A141">
        <v>3622006</v>
      </c>
    </row>
    <row r="142" spans="1:1" x14ac:dyDescent="0.2">
      <c r="A142">
        <v>54852004</v>
      </c>
    </row>
    <row r="143" spans="1:1" x14ac:dyDescent="0.2">
      <c r="A143">
        <v>340512013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7"/>
  <sheetViews>
    <sheetView workbookViewId="0">
      <pane ySplit="2" topLeftCell="A3" activePane="bottomLeft" state="frozen"/>
      <selection pane="bottomLeft" activeCell="A3" sqref="A3:A5"/>
    </sheetView>
  </sheetViews>
  <sheetFormatPr defaultColWidth="14.42578125" defaultRowHeight="15.75" customHeight="1" x14ac:dyDescent="0.2"/>
  <cols>
    <col min="1" max="1" width="8.85546875" customWidth="1"/>
    <col min="2" max="2" width="16.7109375" customWidth="1"/>
    <col min="3" max="3" width="43.5703125" customWidth="1"/>
    <col min="4" max="4" width="14.7109375" customWidth="1"/>
    <col min="5" max="5" width="11.5703125" customWidth="1"/>
    <col min="6" max="6" width="8" customWidth="1"/>
    <col min="7" max="7" width="10.42578125" customWidth="1"/>
    <col min="8" max="8" width="43.5703125" customWidth="1"/>
    <col min="9" max="9" width="7.85546875" customWidth="1"/>
  </cols>
  <sheetData>
    <row r="1" spans="1:9" ht="15.75" customHeight="1" x14ac:dyDescent="0.2">
      <c r="A1" s="267" t="s">
        <v>0</v>
      </c>
      <c r="B1" s="268"/>
      <c r="C1" s="268"/>
      <c r="D1" s="268"/>
      <c r="E1" s="268"/>
      <c r="F1" s="268"/>
      <c r="G1" s="268"/>
      <c r="H1" s="268"/>
      <c r="I1" s="269"/>
    </row>
    <row r="2" spans="1:9" ht="15.75" customHeight="1" x14ac:dyDescent="0.2">
      <c r="A2" s="1" t="s">
        <v>2</v>
      </c>
      <c r="B2" s="2" t="s">
        <v>3</v>
      </c>
      <c r="C2" s="1" t="s">
        <v>5</v>
      </c>
      <c r="D2" s="1" t="s">
        <v>6</v>
      </c>
      <c r="E2" s="3" t="s">
        <v>7</v>
      </c>
      <c r="F2" s="4" t="s">
        <v>8</v>
      </c>
      <c r="G2" s="3" t="s">
        <v>10</v>
      </c>
      <c r="H2" s="2" t="s">
        <v>11</v>
      </c>
      <c r="I2" s="1" t="s">
        <v>12</v>
      </c>
    </row>
    <row r="3" spans="1:9" ht="15.75" customHeight="1" x14ac:dyDescent="0.2">
      <c r="A3" s="5">
        <v>101762007</v>
      </c>
      <c r="B3" s="6" t="s">
        <v>14</v>
      </c>
      <c r="C3" s="7" t="s">
        <v>15</v>
      </c>
      <c r="D3" s="8">
        <v>1164.8900000000001</v>
      </c>
      <c r="E3" s="9">
        <f t="shared" ref="E3:E113" si="0">IF(F3=0,D3*0.1,IF(OR(B3="Descompressão",B3="MS 207002004"),(D3-G3)*0.05,(D3-G3)*0.1))</f>
        <v>105.89909090909092</v>
      </c>
      <c r="F3" s="10">
        <v>0.1</v>
      </c>
      <c r="G3" s="9">
        <f t="shared" ref="G3:G113" si="1">IF(F3=100%,D3,IF(F3=0,0,(D3-(D3/(1+F3)))))</f>
        <v>105.899090909091</v>
      </c>
      <c r="H3" s="7" t="s">
        <v>37</v>
      </c>
      <c r="I3" s="11" t="s">
        <v>38</v>
      </c>
    </row>
    <row r="4" spans="1:9" ht="15.75" customHeight="1" x14ac:dyDescent="0.2">
      <c r="A4" s="12">
        <v>132182000</v>
      </c>
      <c r="B4" s="13" t="s">
        <v>13</v>
      </c>
      <c r="C4" s="14" t="s">
        <v>35</v>
      </c>
      <c r="D4" s="15">
        <v>11072.36</v>
      </c>
      <c r="E4" s="16">
        <f t="shared" si="0"/>
        <v>1006.5781818181819</v>
      </c>
      <c r="F4" s="17">
        <v>0.1</v>
      </c>
      <c r="G4" s="16">
        <f t="shared" si="1"/>
        <v>1006.5781818181822</v>
      </c>
      <c r="H4" s="14" t="s">
        <v>42</v>
      </c>
      <c r="I4" s="18" t="s">
        <v>38</v>
      </c>
    </row>
    <row r="5" spans="1:9" ht="15.75" customHeight="1" x14ac:dyDescent="0.2">
      <c r="A5" s="19">
        <v>132182000</v>
      </c>
      <c r="B5" s="20" t="s">
        <v>13</v>
      </c>
      <c r="C5" s="21" t="s">
        <v>43</v>
      </c>
      <c r="D5" s="22">
        <v>9904.06</v>
      </c>
      <c r="E5" s="23">
        <f t="shared" si="0"/>
        <v>900.36909090909091</v>
      </c>
      <c r="F5" s="24">
        <v>0.1</v>
      </c>
      <c r="G5" s="23">
        <f t="shared" si="1"/>
        <v>900.36909090909103</v>
      </c>
      <c r="H5" s="21" t="s">
        <v>42</v>
      </c>
      <c r="I5" s="25" t="s">
        <v>38</v>
      </c>
    </row>
    <row r="6" spans="1:9" ht="15.75" customHeight="1" x14ac:dyDescent="0.2">
      <c r="A6" s="26"/>
      <c r="B6" s="26"/>
      <c r="C6" s="27"/>
      <c r="D6" s="28"/>
      <c r="E6" s="29">
        <f t="shared" si="0"/>
        <v>0</v>
      </c>
      <c r="F6" s="30"/>
      <c r="G6" s="29">
        <f t="shared" si="1"/>
        <v>0</v>
      </c>
      <c r="H6" s="27"/>
      <c r="I6" s="26"/>
    </row>
    <row r="7" spans="1:9" ht="15.75" customHeight="1" x14ac:dyDescent="0.2">
      <c r="A7" s="26"/>
      <c r="B7" s="26"/>
      <c r="C7" s="27"/>
      <c r="D7" s="28"/>
      <c r="E7" s="29">
        <f t="shared" si="0"/>
        <v>0</v>
      </c>
      <c r="F7" s="30"/>
      <c r="G7" s="29">
        <f t="shared" si="1"/>
        <v>0</v>
      </c>
      <c r="H7" s="27"/>
      <c r="I7" s="26"/>
    </row>
    <row r="8" spans="1:9" ht="15.75" customHeight="1" x14ac:dyDescent="0.2">
      <c r="A8" s="26"/>
      <c r="B8" s="26"/>
      <c r="C8" s="27"/>
      <c r="D8" s="28"/>
      <c r="E8" s="29">
        <f t="shared" si="0"/>
        <v>0</v>
      </c>
      <c r="F8" s="30"/>
      <c r="G8" s="29">
        <f t="shared" si="1"/>
        <v>0</v>
      </c>
      <c r="H8" s="27"/>
      <c r="I8" s="26"/>
    </row>
    <row r="9" spans="1:9" ht="15.75" customHeight="1" x14ac:dyDescent="0.2">
      <c r="A9" s="26"/>
      <c r="B9" s="26"/>
      <c r="C9" s="27"/>
      <c r="D9" s="28"/>
      <c r="E9" s="29">
        <f t="shared" si="0"/>
        <v>0</v>
      </c>
      <c r="F9" s="30"/>
      <c r="G9" s="29">
        <f t="shared" si="1"/>
        <v>0</v>
      </c>
      <c r="H9" s="27"/>
      <c r="I9" s="26"/>
    </row>
    <row r="10" spans="1:9" ht="15.75" customHeight="1" x14ac:dyDescent="0.2">
      <c r="A10" s="26"/>
      <c r="B10" s="26"/>
      <c r="C10" s="27"/>
      <c r="D10" s="28"/>
      <c r="E10" s="29">
        <f t="shared" si="0"/>
        <v>0</v>
      </c>
      <c r="F10" s="30"/>
      <c r="G10" s="29">
        <f t="shared" si="1"/>
        <v>0</v>
      </c>
      <c r="H10" s="27"/>
      <c r="I10" s="26"/>
    </row>
    <row r="11" spans="1:9" ht="15.75" customHeight="1" x14ac:dyDescent="0.2">
      <c r="A11" s="26"/>
      <c r="B11" s="26"/>
      <c r="C11" s="27"/>
      <c r="D11" s="28"/>
      <c r="E11" s="29">
        <f t="shared" si="0"/>
        <v>0</v>
      </c>
      <c r="F11" s="30"/>
      <c r="G11" s="29">
        <f t="shared" si="1"/>
        <v>0</v>
      </c>
      <c r="H11" s="27"/>
      <c r="I11" s="26"/>
    </row>
    <row r="12" spans="1:9" ht="15.75" customHeight="1" x14ac:dyDescent="0.2">
      <c r="A12" s="26"/>
      <c r="B12" s="26"/>
      <c r="C12" s="27"/>
      <c r="D12" s="28"/>
      <c r="E12" s="29">
        <f t="shared" si="0"/>
        <v>0</v>
      </c>
      <c r="F12" s="30"/>
      <c r="G12" s="29">
        <f t="shared" si="1"/>
        <v>0</v>
      </c>
      <c r="H12" s="27"/>
      <c r="I12" s="26"/>
    </row>
    <row r="13" spans="1:9" ht="15.75" customHeight="1" x14ac:dyDescent="0.2">
      <c r="A13" s="26"/>
      <c r="B13" s="26"/>
      <c r="C13" s="27"/>
      <c r="D13" s="28"/>
      <c r="E13" s="29">
        <f t="shared" si="0"/>
        <v>0</v>
      </c>
      <c r="F13" s="30"/>
      <c r="G13" s="29">
        <f t="shared" si="1"/>
        <v>0</v>
      </c>
      <c r="H13" s="27"/>
      <c r="I13" s="26"/>
    </row>
    <row r="14" spans="1:9" ht="15.75" customHeight="1" x14ac:dyDescent="0.2">
      <c r="A14" s="26"/>
      <c r="B14" s="26"/>
      <c r="C14" s="27"/>
      <c r="D14" s="28"/>
      <c r="E14" s="29">
        <f t="shared" si="0"/>
        <v>0</v>
      </c>
      <c r="F14" s="30"/>
      <c r="G14" s="29">
        <f t="shared" si="1"/>
        <v>0</v>
      </c>
      <c r="H14" s="27"/>
      <c r="I14" s="26"/>
    </row>
    <row r="15" spans="1:9" ht="15.75" customHeight="1" x14ac:dyDescent="0.2">
      <c r="A15" s="26"/>
      <c r="B15" s="26"/>
      <c r="C15" s="27"/>
      <c r="D15" s="28"/>
      <c r="E15" s="29">
        <f t="shared" si="0"/>
        <v>0</v>
      </c>
      <c r="F15" s="30"/>
      <c r="G15" s="29">
        <f t="shared" si="1"/>
        <v>0</v>
      </c>
      <c r="H15" s="27"/>
      <c r="I15" s="26"/>
    </row>
    <row r="16" spans="1:9" ht="15.75" customHeight="1" x14ac:dyDescent="0.2">
      <c r="A16" s="26"/>
      <c r="B16" s="26"/>
      <c r="C16" s="27"/>
      <c r="D16" s="28"/>
      <c r="E16" s="29">
        <f t="shared" si="0"/>
        <v>0</v>
      </c>
      <c r="F16" s="30"/>
      <c r="G16" s="29">
        <f t="shared" si="1"/>
        <v>0</v>
      </c>
      <c r="H16" s="27"/>
      <c r="I16" s="26"/>
    </row>
    <row r="17" spans="1:9" ht="15.75" customHeight="1" x14ac:dyDescent="0.2">
      <c r="A17" s="26"/>
      <c r="B17" s="26"/>
      <c r="C17" s="27"/>
      <c r="D17" s="28"/>
      <c r="E17" s="29">
        <f t="shared" si="0"/>
        <v>0</v>
      </c>
      <c r="F17" s="30"/>
      <c r="G17" s="29">
        <f t="shared" si="1"/>
        <v>0</v>
      </c>
      <c r="H17" s="27"/>
      <c r="I17" s="26"/>
    </row>
    <row r="18" spans="1:9" ht="15.75" customHeight="1" x14ac:dyDescent="0.2">
      <c r="A18" s="26"/>
      <c r="B18" s="26"/>
      <c r="C18" s="27"/>
      <c r="D18" s="28"/>
      <c r="E18" s="29">
        <f t="shared" si="0"/>
        <v>0</v>
      </c>
      <c r="F18" s="30"/>
      <c r="G18" s="29">
        <f t="shared" si="1"/>
        <v>0</v>
      </c>
      <c r="H18" s="27"/>
      <c r="I18" s="26"/>
    </row>
    <row r="19" spans="1:9" ht="15.75" customHeight="1" x14ac:dyDescent="0.2">
      <c r="A19" s="26"/>
      <c r="B19" s="26"/>
      <c r="C19" s="27"/>
      <c r="D19" s="28"/>
      <c r="E19" s="29">
        <f t="shared" si="0"/>
        <v>0</v>
      </c>
      <c r="F19" s="30"/>
      <c r="G19" s="29">
        <f t="shared" si="1"/>
        <v>0</v>
      </c>
      <c r="H19" s="27"/>
      <c r="I19" s="26"/>
    </row>
    <row r="20" spans="1:9" ht="15.75" customHeight="1" x14ac:dyDescent="0.2">
      <c r="A20" s="26"/>
      <c r="B20" s="26"/>
      <c r="C20" s="27"/>
      <c r="D20" s="28"/>
      <c r="E20" s="29">
        <f t="shared" si="0"/>
        <v>0</v>
      </c>
      <c r="F20" s="30"/>
      <c r="G20" s="29">
        <f t="shared" si="1"/>
        <v>0</v>
      </c>
      <c r="H20" s="27"/>
      <c r="I20" s="26"/>
    </row>
    <row r="21" spans="1:9" ht="15.75" customHeight="1" x14ac:dyDescent="0.2">
      <c r="A21" s="26"/>
      <c r="B21" s="26"/>
      <c r="C21" s="27"/>
      <c r="D21" s="28"/>
      <c r="E21" s="29">
        <f t="shared" si="0"/>
        <v>0</v>
      </c>
      <c r="F21" s="30"/>
      <c r="G21" s="29">
        <f t="shared" si="1"/>
        <v>0</v>
      </c>
      <c r="H21" s="27"/>
      <c r="I21" s="26"/>
    </row>
    <row r="22" spans="1:9" ht="15.75" customHeight="1" x14ac:dyDescent="0.2">
      <c r="A22" s="26"/>
      <c r="B22" s="26"/>
      <c r="C22" s="27"/>
      <c r="D22" s="28"/>
      <c r="E22" s="29">
        <f t="shared" si="0"/>
        <v>0</v>
      </c>
      <c r="F22" s="30"/>
      <c r="G22" s="29">
        <f t="shared" si="1"/>
        <v>0</v>
      </c>
      <c r="H22" s="27"/>
      <c r="I22" s="26"/>
    </row>
    <row r="23" spans="1:9" ht="15.75" customHeight="1" x14ac:dyDescent="0.2">
      <c r="A23" s="26"/>
      <c r="B23" s="26"/>
      <c r="C23" s="27"/>
      <c r="D23" s="28"/>
      <c r="E23" s="29">
        <f t="shared" si="0"/>
        <v>0</v>
      </c>
      <c r="F23" s="30"/>
      <c r="G23" s="29">
        <f t="shared" si="1"/>
        <v>0</v>
      </c>
      <c r="H23" s="27"/>
      <c r="I23" s="26"/>
    </row>
    <row r="24" spans="1:9" ht="15.75" customHeight="1" x14ac:dyDescent="0.2">
      <c r="A24" s="26"/>
      <c r="B24" s="26"/>
      <c r="C24" s="27"/>
      <c r="D24" s="28"/>
      <c r="E24" s="29">
        <f t="shared" si="0"/>
        <v>0</v>
      </c>
      <c r="F24" s="30"/>
      <c r="G24" s="29">
        <f t="shared" si="1"/>
        <v>0</v>
      </c>
      <c r="H24" s="27"/>
      <c r="I24" s="26"/>
    </row>
    <row r="25" spans="1:9" ht="15.75" customHeight="1" x14ac:dyDescent="0.2">
      <c r="A25" s="26"/>
      <c r="B25" s="26"/>
      <c r="C25" s="27"/>
      <c r="D25" s="28"/>
      <c r="E25" s="29">
        <f t="shared" si="0"/>
        <v>0</v>
      </c>
      <c r="F25" s="30"/>
      <c r="G25" s="29">
        <f t="shared" si="1"/>
        <v>0</v>
      </c>
      <c r="H25" s="27"/>
      <c r="I25" s="26"/>
    </row>
    <row r="26" spans="1:9" ht="15.75" customHeight="1" x14ac:dyDescent="0.2">
      <c r="A26" s="26"/>
      <c r="B26" s="26"/>
      <c r="C26" s="27"/>
      <c r="D26" s="28"/>
      <c r="E26" s="29">
        <f t="shared" si="0"/>
        <v>0</v>
      </c>
      <c r="F26" s="30"/>
      <c r="G26" s="29">
        <f t="shared" si="1"/>
        <v>0</v>
      </c>
      <c r="H26" s="27"/>
      <c r="I26" s="26"/>
    </row>
    <row r="27" spans="1:9" ht="15.75" customHeight="1" x14ac:dyDescent="0.2">
      <c r="A27" s="26"/>
      <c r="B27" s="26"/>
      <c r="C27" s="27"/>
      <c r="D27" s="28"/>
      <c r="E27" s="29">
        <f t="shared" si="0"/>
        <v>0</v>
      </c>
      <c r="F27" s="30"/>
      <c r="G27" s="29">
        <f t="shared" si="1"/>
        <v>0</v>
      </c>
      <c r="H27" s="27"/>
      <c r="I27" s="26"/>
    </row>
    <row r="28" spans="1:9" ht="15.75" customHeight="1" x14ac:dyDescent="0.2">
      <c r="A28" s="26"/>
      <c r="B28" s="26"/>
      <c r="C28" s="27"/>
      <c r="D28" s="28"/>
      <c r="E28" s="29">
        <f t="shared" si="0"/>
        <v>0</v>
      </c>
      <c r="F28" s="30"/>
      <c r="G28" s="29">
        <f t="shared" si="1"/>
        <v>0</v>
      </c>
      <c r="H28" s="27"/>
      <c r="I28" s="26"/>
    </row>
    <row r="29" spans="1:9" ht="15.75" customHeight="1" x14ac:dyDescent="0.2">
      <c r="A29" s="26"/>
      <c r="B29" s="26"/>
      <c r="C29" s="27"/>
      <c r="D29" s="28"/>
      <c r="E29" s="29">
        <f t="shared" si="0"/>
        <v>0</v>
      </c>
      <c r="F29" s="30"/>
      <c r="G29" s="29">
        <f t="shared" si="1"/>
        <v>0</v>
      </c>
      <c r="H29" s="27"/>
      <c r="I29" s="26"/>
    </row>
    <row r="30" spans="1:9" ht="15.75" customHeight="1" x14ac:dyDescent="0.2">
      <c r="A30" s="26"/>
      <c r="B30" s="26"/>
      <c r="C30" s="27"/>
      <c r="D30" s="28"/>
      <c r="E30" s="29">
        <f t="shared" si="0"/>
        <v>0</v>
      </c>
      <c r="F30" s="30"/>
      <c r="G30" s="29">
        <f t="shared" si="1"/>
        <v>0</v>
      </c>
      <c r="H30" s="27"/>
      <c r="I30" s="26"/>
    </row>
    <row r="31" spans="1:9" ht="15.75" customHeight="1" x14ac:dyDescent="0.2">
      <c r="A31" s="26"/>
      <c r="B31" s="26"/>
      <c r="C31" s="27"/>
      <c r="D31" s="28"/>
      <c r="E31" s="29">
        <f t="shared" si="0"/>
        <v>0</v>
      </c>
      <c r="F31" s="30"/>
      <c r="G31" s="29">
        <f t="shared" si="1"/>
        <v>0</v>
      </c>
      <c r="H31" s="27"/>
      <c r="I31" s="26"/>
    </row>
    <row r="32" spans="1:9" ht="15.75" customHeight="1" x14ac:dyDescent="0.2">
      <c r="A32" s="26"/>
      <c r="B32" s="26"/>
      <c r="C32" s="27"/>
      <c r="D32" s="28"/>
      <c r="E32" s="29">
        <f t="shared" si="0"/>
        <v>0</v>
      </c>
      <c r="F32" s="30"/>
      <c r="G32" s="29">
        <f t="shared" si="1"/>
        <v>0</v>
      </c>
      <c r="H32" s="27"/>
      <c r="I32" s="26"/>
    </row>
    <row r="33" spans="1:9" ht="15.75" customHeight="1" x14ac:dyDescent="0.2">
      <c r="A33" s="26"/>
      <c r="B33" s="26"/>
      <c r="C33" s="27"/>
      <c r="D33" s="28"/>
      <c r="E33" s="29">
        <f t="shared" si="0"/>
        <v>0</v>
      </c>
      <c r="F33" s="30"/>
      <c r="G33" s="29">
        <f t="shared" si="1"/>
        <v>0</v>
      </c>
      <c r="H33" s="27"/>
      <c r="I33" s="26"/>
    </row>
    <row r="34" spans="1:9" ht="15.75" customHeight="1" x14ac:dyDescent="0.2">
      <c r="A34" s="26"/>
      <c r="B34" s="26"/>
      <c r="C34" s="27"/>
      <c r="D34" s="28"/>
      <c r="E34" s="29">
        <f t="shared" si="0"/>
        <v>0</v>
      </c>
      <c r="F34" s="30"/>
      <c r="G34" s="29">
        <f t="shared" si="1"/>
        <v>0</v>
      </c>
      <c r="H34" s="27"/>
      <c r="I34" s="26"/>
    </row>
    <row r="35" spans="1:9" ht="15.75" customHeight="1" x14ac:dyDescent="0.2">
      <c r="A35" s="26"/>
      <c r="B35" s="26"/>
      <c r="C35" s="27"/>
      <c r="D35" s="28"/>
      <c r="E35" s="29">
        <f t="shared" si="0"/>
        <v>0</v>
      </c>
      <c r="F35" s="30"/>
      <c r="G35" s="29">
        <f t="shared" si="1"/>
        <v>0</v>
      </c>
      <c r="H35" s="27"/>
      <c r="I35" s="26"/>
    </row>
    <row r="36" spans="1:9" ht="15.75" customHeight="1" x14ac:dyDescent="0.2">
      <c r="A36" s="26"/>
      <c r="B36" s="26"/>
      <c r="C36" s="27"/>
      <c r="D36" s="28"/>
      <c r="E36" s="29">
        <f t="shared" si="0"/>
        <v>0</v>
      </c>
      <c r="F36" s="30"/>
      <c r="G36" s="29">
        <f t="shared" si="1"/>
        <v>0</v>
      </c>
      <c r="H36" s="27"/>
      <c r="I36" s="26"/>
    </row>
    <row r="37" spans="1:9" ht="15.75" customHeight="1" x14ac:dyDescent="0.2">
      <c r="A37" s="26"/>
      <c r="B37" s="26"/>
      <c r="C37" s="27"/>
      <c r="D37" s="28"/>
      <c r="E37" s="29">
        <f t="shared" si="0"/>
        <v>0</v>
      </c>
      <c r="F37" s="30"/>
      <c r="G37" s="29">
        <f t="shared" si="1"/>
        <v>0</v>
      </c>
      <c r="H37" s="27"/>
      <c r="I37" s="26"/>
    </row>
    <row r="38" spans="1:9" ht="15.75" customHeight="1" x14ac:dyDescent="0.2">
      <c r="A38" s="26"/>
      <c r="B38" s="26"/>
      <c r="C38" s="27"/>
      <c r="D38" s="28"/>
      <c r="E38" s="29">
        <f t="shared" si="0"/>
        <v>0</v>
      </c>
      <c r="F38" s="30"/>
      <c r="G38" s="29">
        <f t="shared" si="1"/>
        <v>0</v>
      </c>
      <c r="H38" s="27"/>
      <c r="I38" s="26"/>
    </row>
    <row r="39" spans="1:9" ht="12.75" x14ac:dyDescent="0.2">
      <c r="A39" s="26"/>
      <c r="B39" s="26"/>
      <c r="C39" s="27"/>
      <c r="D39" s="28"/>
      <c r="E39" s="29">
        <f t="shared" si="0"/>
        <v>0</v>
      </c>
      <c r="F39" s="30"/>
      <c r="G39" s="29">
        <f t="shared" si="1"/>
        <v>0</v>
      </c>
      <c r="H39" s="27"/>
      <c r="I39" s="26"/>
    </row>
    <row r="40" spans="1:9" ht="12.75" x14ac:dyDescent="0.2">
      <c r="A40" s="26"/>
      <c r="B40" s="26"/>
      <c r="C40" s="27"/>
      <c r="D40" s="28"/>
      <c r="E40" s="29">
        <f t="shared" si="0"/>
        <v>0</v>
      </c>
      <c r="F40" s="30"/>
      <c r="G40" s="29">
        <f t="shared" si="1"/>
        <v>0</v>
      </c>
      <c r="H40" s="27"/>
      <c r="I40" s="26"/>
    </row>
    <row r="41" spans="1:9" ht="12.75" x14ac:dyDescent="0.2">
      <c r="A41" s="26"/>
      <c r="B41" s="26"/>
      <c r="C41" s="27"/>
      <c r="D41" s="28"/>
      <c r="E41" s="29">
        <f t="shared" si="0"/>
        <v>0</v>
      </c>
      <c r="F41" s="30"/>
      <c r="G41" s="29">
        <f t="shared" si="1"/>
        <v>0</v>
      </c>
      <c r="H41" s="27"/>
      <c r="I41" s="26"/>
    </row>
    <row r="42" spans="1:9" ht="12.75" x14ac:dyDescent="0.2">
      <c r="A42" s="26"/>
      <c r="B42" s="26"/>
      <c r="C42" s="27"/>
      <c r="D42" s="28"/>
      <c r="E42" s="29">
        <f t="shared" si="0"/>
        <v>0</v>
      </c>
      <c r="F42" s="30"/>
      <c r="G42" s="29">
        <f t="shared" si="1"/>
        <v>0</v>
      </c>
      <c r="H42" s="27"/>
      <c r="I42" s="26"/>
    </row>
    <row r="43" spans="1:9" ht="12.75" x14ac:dyDescent="0.2">
      <c r="A43" s="26"/>
      <c r="B43" s="26"/>
      <c r="C43" s="27"/>
      <c r="D43" s="28"/>
      <c r="E43" s="29">
        <f t="shared" si="0"/>
        <v>0</v>
      </c>
      <c r="F43" s="30"/>
      <c r="G43" s="29">
        <f t="shared" si="1"/>
        <v>0</v>
      </c>
      <c r="H43" s="27"/>
      <c r="I43" s="26"/>
    </row>
    <row r="44" spans="1:9" ht="12.75" x14ac:dyDescent="0.2">
      <c r="A44" s="26"/>
      <c r="B44" s="26"/>
      <c r="C44" s="27"/>
      <c r="D44" s="28"/>
      <c r="E44" s="29">
        <f t="shared" si="0"/>
        <v>0</v>
      </c>
      <c r="F44" s="30"/>
      <c r="G44" s="29">
        <f t="shared" si="1"/>
        <v>0</v>
      </c>
      <c r="H44" s="27"/>
      <c r="I44" s="26"/>
    </row>
    <row r="45" spans="1:9" ht="12.75" x14ac:dyDescent="0.2">
      <c r="A45" s="26"/>
      <c r="B45" s="26"/>
      <c r="C45" s="27"/>
      <c r="D45" s="28"/>
      <c r="E45" s="29">
        <f t="shared" si="0"/>
        <v>0</v>
      </c>
      <c r="F45" s="30"/>
      <c r="G45" s="29">
        <f t="shared" si="1"/>
        <v>0</v>
      </c>
      <c r="H45" s="27"/>
      <c r="I45" s="26"/>
    </row>
    <row r="46" spans="1:9" ht="12.75" x14ac:dyDescent="0.2">
      <c r="A46" s="26"/>
      <c r="B46" s="26"/>
      <c r="C46" s="27"/>
      <c r="D46" s="28"/>
      <c r="E46" s="29">
        <f t="shared" si="0"/>
        <v>0</v>
      </c>
      <c r="F46" s="30"/>
      <c r="G46" s="29">
        <f t="shared" si="1"/>
        <v>0</v>
      </c>
      <c r="H46" s="27"/>
      <c r="I46" s="26"/>
    </row>
    <row r="47" spans="1:9" ht="12.75" x14ac:dyDescent="0.2">
      <c r="A47" s="26"/>
      <c r="B47" s="26"/>
      <c r="C47" s="27"/>
      <c r="D47" s="28"/>
      <c r="E47" s="29">
        <f t="shared" si="0"/>
        <v>0</v>
      </c>
      <c r="F47" s="30"/>
      <c r="G47" s="29">
        <f t="shared" si="1"/>
        <v>0</v>
      </c>
      <c r="H47" s="27"/>
      <c r="I47" s="26"/>
    </row>
    <row r="48" spans="1:9" ht="12.75" x14ac:dyDescent="0.2">
      <c r="A48" s="26"/>
      <c r="B48" s="26"/>
      <c r="C48" s="27"/>
      <c r="D48" s="28"/>
      <c r="E48" s="29">
        <f t="shared" si="0"/>
        <v>0</v>
      </c>
      <c r="F48" s="30"/>
      <c r="G48" s="29">
        <f t="shared" si="1"/>
        <v>0</v>
      </c>
      <c r="H48" s="27"/>
      <c r="I48" s="26"/>
    </row>
    <row r="49" spans="1:9" ht="12.75" x14ac:dyDescent="0.2">
      <c r="A49" s="26"/>
      <c r="B49" s="26"/>
      <c r="C49" s="27"/>
      <c r="D49" s="28"/>
      <c r="E49" s="29">
        <f t="shared" si="0"/>
        <v>0</v>
      </c>
      <c r="F49" s="30"/>
      <c r="G49" s="29">
        <f t="shared" si="1"/>
        <v>0</v>
      </c>
      <c r="H49" s="27"/>
      <c r="I49" s="26"/>
    </row>
    <row r="50" spans="1:9" ht="12.75" x14ac:dyDescent="0.2">
      <c r="A50" s="26"/>
      <c r="B50" s="26"/>
      <c r="C50" s="27"/>
      <c r="D50" s="28"/>
      <c r="E50" s="29">
        <f t="shared" si="0"/>
        <v>0</v>
      </c>
      <c r="F50" s="30"/>
      <c r="G50" s="29">
        <f t="shared" si="1"/>
        <v>0</v>
      </c>
      <c r="H50" s="27"/>
      <c r="I50" s="26"/>
    </row>
    <row r="51" spans="1:9" ht="12.75" x14ac:dyDescent="0.2">
      <c r="A51" s="26"/>
      <c r="B51" s="26"/>
      <c r="C51" s="27"/>
      <c r="D51" s="28"/>
      <c r="E51" s="29">
        <f t="shared" si="0"/>
        <v>0</v>
      </c>
      <c r="F51" s="30"/>
      <c r="G51" s="29">
        <f t="shared" si="1"/>
        <v>0</v>
      </c>
      <c r="H51" s="27"/>
      <c r="I51" s="26"/>
    </row>
    <row r="52" spans="1:9" ht="12.75" x14ac:dyDescent="0.2">
      <c r="A52" s="26"/>
      <c r="B52" s="26"/>
      <c r="C52" s="27"/>
      <c r="D52" s="28"/>
      <c r="E52" s="29">
        <f t="shared" si="0"/>
        <v>0</v>
      </c>
      <c r="F52" s="30"/>
      <c r="G52" s="29">
        <f t="shared" si="1"/>
        <v>0</v>
      </c>
      <c r="H52" s="27"/>
      <c r="I52" s="26"/>
    </row>
    <row r="53" spans="1:9" ht="12.75" x14ac:dyDescent="0.2">
      <c r="A53" s="26"/>
      <c r="B53" s="26"/>
      <c r="C53" s="27"/>
      <c r="D53" s="28"/>
      <c r="E53" s="29">
        <f t="shared" si="0"/>
        <v>0</v>
      </c>
      <c r="F53" s="30"/>
      <c r="G53" s="29">
        <f t="shared" si="1"/>
        <v>0</v>
      </c>
      <c r="H53" s="27"/>
      <c r="I53" s="26"/>
    </row>
    <row r="54" spans="1:9" ht="12.75" x14ac:dyDescent="0.2">
      <c r="A54" s="26"/>
      <c r="B54" s="26"/>
      <c r="C54" s="27"/>
      <c r="D54" s="28"/>
      <c r="E54" s="29">
        <f t="shared" si="0"/>
        <v>0</v>
      </c>
      <c r="F54" s="30"/>
      <c r="G54" s="29">
        <f t="shared" si="1"/>
        <v>0</v>
      </c>
      <c r="H54" s="27"/>
      <c r="I54" s="26"/>
    </row>
    <row r="55" spans="1:9" ht="12.75" x14ac:dyDescent="0.2">
      <c r="A55" s="26"/>
      <c r="B55" s="26"/>
      <c r="C55" s="27"/>
      <c r="D55" s="28"/>
      <c r="E55" s="29">
        <f t="shared" si="0"/>
        <v>0</v>
      </c>
      <c r="F55" s="30"/>
      <c r="G55" s="29">
        <f t="shared" si="1"/>
        <v>0</v>
      </c>
      <c r="H55" s="27"/>
      <c r="I55" s="26"/>
    </row>
    <row r="56" spans="1:9" ht="12.75" x14ac:dyDescent="0.2">
      <c r="A56" s="26"/>
      <c r="B56" s="26"/>
      <c r="C56" s="27"/>
      <c r="D56" s="28"/>
      <c r="E56" s="29">
        <f t="shared" si="0"/>
        <v>0</v>
      </c>
      <c r="F56" s="30"/>
      <c r="G56" s="29">
        <f t="shared" si="1"/>
        <v>0</v>
      </c>
      <c r="H56" s="27"/>
      <c r="I56" s="26"/>
    </row>
    <row r="57" spans="1:9" ht="12.75" x14ac:dyDescent="0.2">
      <c r="A57" s="26"/>
      <c r="B57" s="26"/>
      <c r="C57" s="27"/>
      <c r="D57" s="28"/>
      <c r="E57" s="29">
        <f t="shared" si="0"/>
        <v>0</v>
      </c>
      <c r="F57" s="30"/>
      <c r="G57" s="29">
        <f t="shared" si="1"/>
        <v>0</v>
      </c>
      <c r="H57" s="27"/>
      <c r="I57" s="26"/>
    </row>
    <row r="58" spans="1:9" ht="12.75" x14ac:dyDescent="0.2">
      <c r="A58" s="26"/>
      <c r="B58" s="26"/>
      <c r="C58" s="27"/>
      <c r="D58" s="28"/>
      <c r="E58" s="29">
        <f t="shared" si="0"/>
        <v>0</v>
      </c>
      <c r="F58" s="30"/>
      <c r="G58" s="29">
        <f t="shared" si="1"/>
        <v>0</v>
      </c>
      <c r="H58" s="27"/>
      <c r="I58" s="26"/>
    </row>
    <row r="59" spans="1:9" ht="12.75" x14ac:dyDescent="0.2">
      <c r="A59" s="31"/>
      <c r="B59" s="31"/>
      <c r="C59" s="32"/>
      <c r="D59" s="33"/>
      <c r="E59" s="34">
        <f t="shared" si="0"/>
        <v>0</v>
      </c>
      <c r="F59" s="35"/>
      <c r="G59" s="34">
        <f t="shared" si="1"/>
        <v>0</v>
      </c>
      <c r="H59" s="32"/>
      <c r="I59" s="31"/>
    </row>
    <row r="60" spans="1:9" ht="12.75" x14ac:dyDescent="0.2">
      <c r="A60" s="31"/>
      <c r="B60" s="31"/>
      <c r="C60" s="32"/>
      <c r="D60" s="33"/>
      <c r="E60" s="34">
        <f t="shared" si="0"/>
        <v>0</v>
      </c>
      <c r="F60" s="35"/>
      <c r="G60" s="34">
        <f t="shared" si="1"/>
        <v>0</v>
      </c>
      <c r="H60" s="32"/>
      <c r="I60" s="31"/>
    </row>
    <row r="61" spans="1:9" ht="12.75" x14ac:dyDescent="0.2">
      <c r="A61" s="26"/>
      <c r="B61" s="26"/>
      <c r="C61" s="27"/>
      <c r="D61" s="28"/>
      <c r="E61" s="29">
        <f t="shared" si="0"/>
        <v>0</v>
      </c>
      <c r="F61" s="30"/>
      <c r="G61" s="29">
        <f t="shared" si="1"/>
        <v>0</v>
      </c>
      <c r="H61" s="27"/>
      <c r="I61" s="26"/>
    </row>
    <row r="62" spans="1:9" ht="12.75" x14ac:dyDescent="0.2">
      <c r="A62" s="31"/>
      <c r="B62" s="31"/>
      <c r="C62" s="32"/>
      <c r="D62" s="33"/>
      <c r="E62" s="34">
        <f t="shared" si="0"/>
        <v>0</v>
      </c>
      <c r="F62" s="35"/>
      <c r="G62" s="34">
        <f t="shared" si="1"/>
        <v>0</v>
      </c>
      <c r="H62" s="32"/>
      <c r="I62" s="31"/>
    </row>
    <row r="63" spans="1:9" ht="12.75" x14ac:dyDescent="0.2">
      <c r="A63" s="31"/>
      <c r="B63" s="31"/>
      <c r="C63" s="32"/>
      <c r="D63" s="33"/>
      <c r="E63" s="34">
        <f t="shared" si="0"/>
        <v>0</v>
      </c>
      <c r="F63" s="35"/>
      <c r="G63" s="34">
        <f t="shared" si="1"/>
        <v>0</v>
      </c>
      <c r="H63" s="32"/>
      <c r="I63" s="31"/>
    </row>
    <row r="64" spans="1:9" ht="12.75" x14ac:dyDescent="0.2">
      <c r="A64" s="31"/>
      <c r="B64" s="31"/>
      <c r="C64" s="32"/>
      <c r="D64" s="33"/>
      <c r="E64" s="34">
        <f t="shared" si="0"/>
        <v>0</v>
      </c>
      <c r="F64" s="35"/>
      <c r="G64" s="34">
        <f t="shared" si="1"/>
        <v>0</v>
      </c>
      <c r="H64" s="32"/>
      <c r="I64" s="31"/>
    </row>
    <row r="65" spans="1:9" ht="12.75" x14ac:dyDescent="0.2">
      <c r="A65" s="31"/>
      <c r="B65" s="31"/>
      <c r="C65" s="32"/>
      <c r="D65" s="33"/>
      <c r="E65" s="34">
        <f t="shared" si="0"/>
        <v>0</v>
      </c>
      <c r="F65" s="35"/>
      <c r="G65" s="34">
        <f t="shared" si="1"/>
        <v>0</v>
      </c>
      <c r="H65" s="32"/>
      <c r="I65" s="31"/>
    </row>
    <row r="66" spans="1:9" ht="12.75" x14ac:dyDescent="0.2">
      <c r="A66" s="31"/>
      <c r="B66" s="31"/>
      <c r="C66" s="32"/>
      <c r="D66" s="33"/>
      <c r="E66" s="34">
        <f t="shared" si="0"/>
        <v>0</v>
      </c>
      <c r="F66" s="35"/>
      <c r="G66" s="34">
        <f t="shared" si="1"/>
        <v>0</v>
      </c>
      <c r="H66" s="32"/>
      <c r="I66" s="31"/>
    </row>
    <row r="67" spans="1:9" ht="12.75" x14ac:dyDescent="0.2">
      <c r="A67" s="31"/>
      <c r="B67" s="31"/>
      <c r="C67" s="32"/>
      <c r="D67" s="33"/>
      <c r="E67" s="34">
        <f t="shared" si="0"/>
        <v>0</v>
      </c>
      <c r="F67" s="35"/>
      <c r="G67" s="34">
        <f t="shared" si="1"/>
        <v>0</v>
      </c>
      <c r="H67" s="32"/>
      <c r="I67" s="31"/>
    </row>
    <row r="68" spans="1:9" ht="12.75" x14ac:dyDescent="0.2">
      <c r="A68" s="31"/>
      <c r="B68" s="31"/>
      <c r="C68" s="32"/>
      <c r="D68" s="33"/>
      <c r="E68" s="34">
        <f t="shared" si="0"/>
        <v>0</v>
      </c>
      <c r="F68" s="35"/>
      <c r="G68" s="34">
        <f t="shared" si="1"/>
        <v>0</v>
      </c>
      <c r="H68" s="32"/>
      <c r="I68" s="31"/>
    </row>
    <row r="69" spans="1:9" ht="12.75" x14ac:dyDescent="0.2">
      <c r="A69" s="31"/>
      <c r="B69" s="31"/>
      <c r="C69" s="32"/>
      <c r="D69" s="33"/>
      <c r="E69" s="34">
        <f t="shared" si="0"/>
        <v>0</v>
      </c>
      <c r="F69" s="35"/>
      <c r="G69" s="34">
        <f t="shared" si="1"/>
        <v>0</v>
      </c>
      <c r="H69" s="32"/>
      <c r="I69" s="31"/>
    </row>
    <row r="70" spans="1:9" ht="12.75" x14ac:dyDescent="0.2">
      <c r="A70" s="31"/>
      <c r="B70" s="31"/>
      <c r="C70" s="32"/>
      <c r="D70" s="33"/>
      <c r="E70" s="34">
        <f t="shared" si="0"/>
        <v>0</v>
      </c>
      <c r="F70" s="35"/>
      <c r="G70" s="34">
        <f t="shared" si="1"/>
        <v>0</v>
      </c>
      <c r="H70" s="32"/>
      <c r="I70" s="31"/>
    </row>
    <row r="71" spans="1:9" ht="12.75" x14ac:dyDescent="0.2">
      <c r="A71" s="31"/>
      <c r="B71" s="31"/>
      <c r="C71" s="32"/>
      <c r="D71" s="33"/>
      <c r="E71" s="34">
        <f t="shared" si="0"/>
        <v>0</v>
      </c>
      <c r="F71" s="35"/>
      <c r="G71" s="34">
        <f t="shared" si="1"/>
        <v>0</v>
      </c>
      <c r="H71" s="32"/>
      <c r="I71" s="31"/>
    </row>
    <row r="72" spans="1:9" ht="12.75" x14ac:dyDescent="0.2">
      <c r="A72" s="31"/>
      <c r="B72" s="31"/>
      <c r="C72" s="32"/>
      <c r="D72" s="33"/>
      <c r="E72" s="34">
        <f t="shared" si="0"/>
        <v>0</v>
      </c>
      <c r="F72" s="35"/>
      <c r="G72" s="34">
        <f t="shared" si="1"/>
        <v>0</v>
      </c>
      <c r="H72" s="32"/>
      <c r="I72" s="31"/>
    </row>
    <row r="73" spans="1:9" ht="12.75" x14ac:dyDescent="0.2">
      <c r="A73" s="31"/>
      <c r="B73" s="31"/>
      <c r="C73" s="32"/>
      <c r="D73" s="33"/>
      <c r="E73" s="34">
        <f t="shared" si="0"/>
        <v>0</v>
      </c>
      <c r="F73" s="35"/>
      <c r="G73" s="34">
        <f t="shared" si="1"/>
        <v>0</v>
      </c>
      <c r="H73" s="32"/>
      <c r="I73" s="31"/>
    </row>
    <row r="74" spans="1:9" ht="12.75" x14ac:dyDescent="0.2">
      <c r="A74" s="31"/>
      <c r="B74" s="31"/>
      <c r="C74" s="32"/>
      <c r="D74" s="33"/>
      <c r="E74" s="34">
        <f t="shared" si="0"/>
        <v>0</v>
      </c>
      <c r="F74" s="35"/>
      <c r="G74" s="34">
        <f t="shared" si="1"/>
        <v>0</v>
      </c>
      <c r="H74" s="32"/>
      <c r="I74" s="31"/>
    </row>
    <row r="75" spans="1:9" ht="12.75" x14ac:dyDescent="0.2">
      <c r="A75" s="31"/>
      <c r="B75" s="31"/>
      <c r="C75" s="32"/>
      <c r="D75" s="33"/>
      <c r="E75" s="34">
        <f t="shared" si="0"/>
        <v>0</v>
      </c>
      <c r="F75" s="35"/>
      <c r="G75" s="34">
        <f t="shared" si="1"/>
        <v>0</v>
      </c>
      <c r="H75" s="32"/>
      <c r="I75" s="31"/>
    </row>
    <row r="76" spans="1:9" ht="12.75" x14ac:dyDescent="0.2">
      <c r="A76" s="31"/>
      <c r="B76" s="31"/>
      <c r="C76" s="32"/>
      <c r="D76" s="33"/>
      <c r="E76" s="34">
        <f t="shared" si="0"/>
        <v>0</v>
      </c>
      <c r="F76" s="35"/>
      <c r="G76" s="34">
        <f t="shared" si="1"/>
        <v>0</v>
      </c>
      <c r="H76" s="32"/>
      <c r="I76" s="31"/>
    </row>
    <row r="77" spans="1:9" ht="12.75" x14ac:dyDescent="0.2">
      <c r="A77" s="31"/>
      <c r="B77" s="31"/>
      <c r="C77" s="32"/>
      <c r="D77" s="33"/>
      <c r="E77" s="34">
        <f t="shared" si="0"/>
        <v>0</v>
      </c>
      <c r="F77" s="35"/>
      <c r="G77" s="34">
        <f t="shared" si="1"/>
        <v>0</v>
      </c>
      <c r="H77" s="32"/>
      <c r="I77" s="31"/>
    </row>
    <row r="78" spans="1:9" ht="12.75" x14ac:dyDescent="0.2">
      <c r="A78" s="31"/>
      <c r="B78" s="31"/>
      <c r="C78" s="32"/>
      <c r="D78" s="33"/>
      <c r="E78" s="34">
        <f t="shared" si="0"/>
        <v>0</v>
      </c>
      <c r="F78" s="35"/>
      <c r="G78" s="34">
        <f t="shared" si="1"/>
        <v>0</v>
      </c>
      <c r="H78" s="32"/>
      <c r="I78" s="31"/>
    </row>
    <row r="79" spans="1:9" ht="12.75" x14ac:dyDescent="0.2">
      <c r="A79" s="31"/>
      <c r="B79" s="31"/>
      <c r="C79" s="32"/>
      <c r="D79" s="33"/>
      <c r="E79" s="34">
        <f t="shared" si="0"/>
        <v>0</v>
      </c>
      <c r="F79" s="35"/>
      <c r="G79" s="34">
        <f t="shared" si="1"/>
        <v>0</v>
      </c>
      <c r="H79" s="32"/>
      <c r="I79" s="31"/>
    </row>
    <row r="80" spans="1:9" ht="12.75" x14ac:dyDescent="0.2">
      <c r="A80" s="31"/>
      <c r="B80" s="31"/>
      <c r="C80" s="32"/>
      <c r="D80" s="33"/>
      <c r="E80" s="34">
        <f t="shared" si="0"/>
        <v>0</v>
      </c>
      <c r="F80" s="35"/>
      <c r="G80" s="34">
        <f t="shared" si="1"/>
        <v>0</v>
      </c>
      <c r="H80" s="32"/>
      <c r="I80" s="31"/>
    </row>
    <row r="81" spans="1:9" ht="12.75" x14ac:dyDescent="0.2">
      <c r="A81" s="31"/>
      <c r="B81" s="31"/>
      <c r="C81" s="32"/>
      <c r="D81" s="33"/>
      <c r="E81" s="34">
        <f t="shared" si="0"/>
        <v>0</v>
      </c>
      <c r="F81" s="35"/>
      <c r="G81" s="34">
        <f t="shared" si="1"/>
        <v>0</v>
      </c>
      <c r="H81" s="32"/>
      <c r="I81" s="31"/>
    </row>
    <row r="82" spans="1:9" ht="12.75" x14ac:dyDescent="0.2">
      <c r="A82" s="31"/>
      <c r="B82" s="31"/>
      <c r="C82" s="32"/>
      <c r="D82" s="33"/>
      <c r="E82" s="34">
        <f t="shared" si="0"/>
        <v>0</v>
      </c>
      <c r="F82" s="35"/>
      <c r="G82" s="34">
        <f t="shared" si="1"/>
        <v>0</v>
      </c>
      <c r="H82" s="32"/>
      <c r="I82" s="31"/>
    </row>
    <row r="83" spans="1:9" ht="12.75" x14ac:dyDescent="0.2">
      <c r="A83" s="31"/>
      <c r="B83" s="31"/>
      <c r="C83" s="32"/>
      <c r="D83" s="33"/>
      <c r="E83" s="34">
        <f t="shared" si="0"/>
        <v>0</v>
      </c>
      <c r="F83" s="35"/>
      <c r="G83" s="34">
        <f t="shared" si="1"/>
        <v>0</v>
      </c>
      <c r="H83" s="32"/>
      <c r="I83" s="31"/>
    </row>
    <row r="84" spans="1:9" ht="12.75" x14ac:dyDescent="0.2">
      <c r="A84" s="31"/>
      <c r="B84" s="31"/>
      <c r="C84" s="32"/>
      <c r="D84" s="33"/>
      <c r="E84" s="34">
        <f t="shared" si="0"/>
        <v>0</v>
      </c>
      <c r="F84" s="35"/>
      <c r="G84" s="34">
        <f t="shared" si="1"/>
        <v>0</v>
      </c>
      <c r="H84" s="32"/>
      <c r="I84" s="31"/>
    </row>
    <row r="85" spans="1:9" ht="12.75" x14ac:dyDescent="0.2">
      <c r="A85" s="31"/>
      <c r="B85" s="31"/>
      <c r="C85" s="32"/>
      <c r="D85" s="33"/>
      <c r="E85" s="34">
        <f t="shared" si="0"/>
        <v>0</v>
      </c>
      <c r="F85" s="35"/>
      <c r="G85" s="34">
        <f t="shared" si="1"/>
        <v>0</v>
      </c>
      <c r="H85" s="32"/>
      <c r="I85" s="31"/>
    </row>
    <row r="86" spans="1:9" ht="12.75" x14ac:dyDescent="0.2">
      <c r="A86" s="31"/>
      <c r="B86" s="31"/>
      <c r="C86" s="32"/>
      <c r="D86" s="33"/>
      <c r="E86" s="34">
        <f t="shared" si="0"/>
        <v>0</v>
      </c>
      <c r="F86" s="35"/>
      <c r="G86" s="34">
        <f t="shared" si="1"/>
        <v>0</v>
      </c>
      <c r="H86" s="32"/>
      <c r="I86" s="31"/>
    </row>
    <row r="87" spans="1:9" ht="12.75" x14ac:dyDescent="0.2">
      <c r="A87" s="31"/>
      <c r="B87" s="31"/>
      <c r="C87" s="32"/>
      <c r="D87" s="33"/>
      <c r="E87" s="34">
        <f t="shared" si="0"/>
        <v>0</v>
      </c>
      <c r="F87" s="35"/>
      <c r="G87" s="34">
        <f t="shared" si="1"/>
        <v>0</v>
      </c>
      <c r="H87" s="32"/>
      <c r="I87" s="31"/>
    </row>
    <row r="88" spans="1:9" ht="12.75" x14ac:dyDescent="0.2">
      <c r="A88" s="31"/>
      <c r="B88" s="31"/>
      <c r="C88" s="32"/>
      <c r="D88" s="33"/>
      <c r="E88" s="34">
        <f t="shared" si="0"/>
        <v>0</v>
      </c>
      <c r="F88" s="35"/>
      <c r="G88" s="34">
        <f t="shared" si="1"/>
        <v>0</v>
      </c>
      <c r="H88" s="32"/>
      <c r="I88" s="31"/>
    </row>
    <row r="89" spans="1:9" ht="12.75" x14ac:dyDescent="0.2">
      <c r="A89" s="31"/>
      <c r="B89" s="31"/>
      <c r="C89" s="32"/>
      <c r="D89" s="33"/>
      <c r="E89" s="34">
        <f t="shared" si="0"/>
        <v>0</v>
      </c>
      <c r="F89" s="35"/>
      <c r="G89" s="34">
        <f t="shared" si="1"/>
        <v>0</v>
      </c>
      <c r="H89" s="32"/>
      <c r="I89" s="31"/>
    </row>
    <row r="90" spans="1:9" ht="12.75" x14ac:dyDescent="0.2">
      <c r="A90" s="31"/>
      <c r="B90" s="31"/>
      <c r="C90" s="32"/>
      <c r="D90" s="33"/>
      <c r="E90" s="34">
        <f t="shared" si="0"/>
        <v>0</v>
      </c>
      <c r="F90" s="35"/>
      <c r="G90" s="34">
        <f t="shared" si="1"/>
        <v>0</v>
      </c>
      <c r="H90" s="32"/>
      <c r="I90" s="31"/>
    </row>
    <row r="91" spans="1:9" ht="12.75" x14ac:dyDescent="0.2">
      <c r="A91" s="31"/>
      <c r="B91" s="31"/>
      <c r="C91" s="32"/>
      <c r="D91" s="33"/>
      <c r="E91" s="34">
        <f t="shared" si="0"/>
        <v>0</v>
      </c>
      <c r="F91" s="35"/>
      <c r="G91" s="34">
        <f t="shared" si="1"/>
        <v>0</v>
      </c>
      <c r="H91" s="32"/>
      <c r="I91" s="31"/>
    </row>
    <row r="92" spans="1:9" ht="12.75" x14ac:dyDescent="0.2">
      <c r="A92" s="31"/>
      <c r="B92" s="31"/>
      <c r="C92" s="32"/>
      <c r="D92" s="33"/>
      <c r="E92" s="34">
        <f t="shared" si="0"/>
        <v>0</v>
      </c>
      <c r="F92" s="35"/>
      <c r="G92" s="34">
        <f t="shared" si="1"/>
        <v>0</v>
      </c>
      <c r="H92" s="32"/>
      <c r="I92" s="31"/>
    </row>
    <row r="93" spans="1:9" ht="12.75" x14ac:dyDescent="0.2">
      <c r="A93" s="31"/>
      <c r="B93" s="31"/>
      <c r="C93" s="32"/>
      <c r="D93" s="33"/>
      <c r="E93" s="34">
        <f t="shared" si="0"/>
        <v>0</v>
      </c>
      <c r="F93" s="35"/>
      <c r="G93" s="34">
        <f t="shared" si="1"/>
        <v>0</v>
      </c>
      <c r="H93" s="32"/>
      <c r="I93" s="31"/>
    </row>
    <row r="94" spans="1:9" ht="12.75" x14ac:dyDescent="0.2">
      <c r="A94" s="31"/>
      <c r="B94" s="31"/>
      <c r="C94" s="32"/>
      <c r="D94" s="33"/>
      <c r="E94" s="34">
        <f t="shared" si="0"/>
        <v>0</v>
      </c>
      <c r="F94" s="35"/>
      <c r="G94" s="34">
        <f t="shared" si="1"/>
        <v>0</v>
      </c>
      <c r="H94" s="32"/>
      <c r="I94" s="31"/>
    </row>
    <row r="95" spans="1:9" ht="12.75" x14ac:dyDescent="0.2">
      <c r="A95" s="31"/>
      <c r="B95" s="31"/>
      <c r="C95" s="32"/>
      <c r="D95" s="33"/>
      <c r="E95" s="34">
        <f t="shared" si="0"/>
        <v>0</v>
      </c>
      <c r="F95" s="35"/>
      <c r="G95" s="34">
        <f t="shared" si="1"/>
        <v>0</v>
      </c>
      <c r="H95" s="32"/>
      <c r="I95" s="31"/>
    </row>
    <row r="96" spans="1:9" ht="12.75" x14ac:dyDescent="0.2">
      <c r="A96" s="31"/>
      <c r="B96" s="31"/>
      <c r="C96" s="32"/>
      <c r="D96" s="33"/>
      <c r="E96" s="34">
        <f t="shared" si="0"/>
        <v>0</v>
      </c>
      <c r="F96" s="35"/>
      <c r="G96" s="34">
        <f t="shared" si="1"/>
        <v>0</v>
      </c>
      <c r="H96" s="32"/>
      <c r="I96" s="31"/>
    </row>
    <row r="97" spans="1:9" ht="12.75" x14ac:dyDescent="0.2">
      <c r="A97" s="31"/>
      <c r="B97" s="31"/>
      <c r="C97" s="32"/>
      <c r="D97" s="33"/>
      <c r="E97" s="34">
        <f t="shared" si="0"/>
        <v>0</v>
      </c>
      <c r="F97" s="35"/>
      <c r="G97" s="34">
        <f t="shared" si="1"/>
        <v>0</v>
      </c>
      <c r="H97" s="32"/>
      <c r="I97" s="31"/>
    </row>
    <row r="98" spans="1:9" ht="12.75" x14ac:dyDescent="0.2">
      <c r="A98" s="31"/>
      <c r="B98" s="31"/>
      <c r="C98" s="32"/>
      <c r="D98" s="33"/>
      <c r="E98" s="34">
        <f t="shared" si="0"/>
        <v>0</v>
      </c>
      <c r="F98" s="35"/>
      <c r="G98" s="34">
        <f t="shared" si="1"/>
        <v>0</v>
      </c>
      <c r="H98" s="32"/>
      <c r="I98" s="31"/>
    </row>
    <row r="99" spans="1:9" ht="12.75" x14ac:dyDescent="0.2">
      <c r="A99" s="31"/>
      <c r="B99" s="31"/>
      <c r="C99" s="32"/>
      <c r="D99" s="33"/>
      <c r="E99" s="34">
        <f t="shared" si="0"/>
        <v>0</v>
      </c>
      <c r="F99" s="35"/>
      <c r="G99" s="34">
        <f t="shared" si="1"/>
        <v>0</v>
      </c>
      <c r="H99" s="32"/>
      <c r="I99" s="31"/>
    </row>
    <row r="100" spans="1:9" ht="12.75" x14ac:dyDescent="0.2">
      <c r="A100" s="31"/>
      <c r="B100" s="31"/>
      <c r="C100" s="32"/>
      <c r="D100" s="33"/>
      <c r="E100" s="34">
        <f t="shared" si="0"/>
        <v>0</v>
      </c>
      <c r="F100" s="35"/>
      <c r="G100" s="34">
        <f t="shared" si="1"/>
        <v>0</v>
      </c>
      <c r="H100" s="32"/>
      <c r="I100" s="31"/>
    </row>
    <row r="101" spans="1:9" ht="12.75" x14ac:dyDescent="0.2">
      <c r="A101" s="31"/>
      <c r="B101" s="31"/>
      <c r="C101" s="32"/>
      <c r="D101" s="33"/>
      <c r="E101" s="34">
        <f t="shared" si="0"/>
        <v>0</v>
      </c>
      <c r="F101" s="35"/>
      <c r="G101" s="34">
        <f t="shared" si="1"/>
        <v>0</v>
      </c>
      <c r="H101" s="32"/>
      <c r="I101" s="31"/>
    </row>
    <row r="102" spans="1:9" ht="12.75" x14ac:dyDescent="0.2">
      <c r="A102" s="31"/>
      <c r="B102" s="31"/>
      <c r="C102" s="32"/>
      <c r="D102" s="33"/>
      <c r="E102" s="34">
        <f t="shared" si="0"/>
        <v>0</v>
      </c>
      <c r="F102" s="35"/>
      <c r="G102" s="34">
        <f t="shared" si="1"/>
        <v>0</v>
      </c>
      <c r="H102" s="32"/>
      <c r="I102" s="31"/>
    </row>
    <row r="103" spans="1:9" ht="12.75" x14ac:dyDescent="0.2">
      <c r="A103" s="31"/>
      <c r="B103" s="31"/>
      <c r="C103" s="32"/>
      <c r="D103" s="33"/>
      <c r="E103" s="34">
        <f t="shared" si="0"/>
        <v>0</v>
      </c>
      <c r="F103" s="35"/>
      <c r="G103" s="34">
        <f t="shared" si="1"/>
        <v>0</v>
      </c>
      <c r="H103" s="32"/>
      <c r="I103" s="31"/>
    </row>
    <row r="104" spans="1:9" ht="12.75" x14ac:dyDescent="0.2">
      <c r="A104" s="31"/>
      <c r="B104" s="31"/>
      <c r="C104" s="32"/>
      <c r="D104" s="33"/>
      <c r="E104" s="34">
        <f t="shared" si="0"/>
        <v>0</v>
      </c>
      <c r="F104" s="35"/>
      <c r="G104" s="34">
        <f t="shared" si="1"/>
        <v>0</v>
      </c>
      <c r="H104" s="32"/>
      <c r="I104" s="31"/>
    </row>
    <row r="105" spans="1:9" ht="12.75" x14ac:dyDescent="0.2">
      <c r="A105" s="31"/>
      <c r="B105" s="31"/>
      <c r="C105" s="32"/>
      <c r="D105" s="33"/>
      <c r="E105" s="34">
        <f t="shared" si="0"/>
        <v>0</v>
      </c>
      <c r="F105" s="35"/>
      <c r="G105" s="34">
        <f t="shared" si="1"/>
        <v>0</v>
      </c>
      <c r="H105" s="32"/>
      <c r="I105" s="31"/>
    </row>
    <row r="106" spans="1:9" ht="12.75" x14ac:dyDescent="0.2">
      <c r="A106" s="31"/>
      <c r="B106" s="31"/>
      <c r="C106" s="32"/>
      <c r="D106" s="33"/>
      <c r="E106" s="34">
        <f t="shared" si="0"/>
        <v>0</v>
      </c>
      <c r="F106" s="35"/>
      <c r="G106" s="34">
        <f t="shared" si="1"/>
        <v>0</v>
      </c>
      <c r="H106" s="32"/>
      <c r="I106" s="31"/>
    </row>
    <row r="107" spans="1:9" ht="12.75" x14ac:dyDescent="0.2">
      <c r="A107" s="31"/>
      <c r="B107" s="31"/>
      <c r="C107" s="32"/>
      <c r="D107" s="33"/>
      <c r="E107" s="34">
        <f t="shared" si="0"/>
        <v>0</v>
      </c>
      <c r="F107" s="35"/>
      <c r="G107" s="34">
        <f t="shared" si="1"/>
        <v>0</v>
      </c>
      <c r="H107" s="32"/>
      <c r="I107" s="31"/>
    </row>
    <row r="108" spans="1:9" ht="12.75" x14ac:dyDescent="0.2">
      <c r="A108" s="31"/>
      <c r="B108" s="31"/>
      <c r="C108" s="32"/>
      <c r="D108" s="33"/>
      <c r="E108" s="34">
        <f t="shared" si="0"/>
        <v>0</v>
      </c>
      <c r="F108" s="35"/>
      <c r="G108" s="34">
        <f t="shared" si="1"/>
        <v>0</v>
      </c>
      <c r="H108" s="32"/>
      <c r="I108" s="31"/>
    </row>
    <row r="109" spans="1:9" ht="12.75" x14ac:dyDescent="0.2">
      <c r="A109" s="31"/>
      <c r="B109" s="31"/>
      <c r="C109" s="32"/>
      <c r="D109" s="33"/>
      <c r="E109" s="34">
        <f t="shared" si="0"/>
        <v>0</v>
      </c>
      <c r="F109" s="35"/>
      <c r="G109" s="34">
        <f t="shared" si="1"/>
        <v>0</v>
      </c>
      <c r="H109" s="32"/>
      <c r="I109" s="31"/>
    </row>
    <row r="110" spans="1:9" ht="12.75" x14ac:dyDescent="0.2">
      <c r="A110" s="31"/>
      <c r="B110" s="31"/>
      <c r="C110" s="32"/>
      <c r="D110" s="33"/>
      <c r="E110" s="34">
        <f t="shared" si="0"/>
        <v>0</v>
      </c>
      <c r="F110" s="35"/>
      <c r="G110" s="34">
        <f t="shared" si="1"/>
        <v>0</v>
      </c>
      <c r="H110" s="32"/>
      <c r="I110" s="31"/>
    </row>
    <row r="111" spans="1:9" ht="12.75" x14ac:dyDescent="0.2">
      <c r="A111" s="31"/>
      <c r="B111" s="31"/>
      <c r="C111" s="32"/>
      <c r="D111" s="33"/>
      <c r="E111" s="34">
        <f t="shared" si="0"/>
        <v>0</v>
      </c>
      <c r="F111" s="35"/>
      <c r="G111" s="34">
        <f t="shared" si="1"/>
        <v>0</v>
      </c>
      <c r="H111" s="32"/>
      <c r="I111" s="31"/>
    </row>
    <row r="112" spans="1:9" ht="12.75" x14ac:dyDescent="0.2">
      <c r="A112" s="31"/>
      <c r="B112" s="31"/>
      <c r="C112" s="32"/>
      <c r="D112" s="33"/>
      <c r="E112" s="34">
        <f t="shared" si="0"/>
        <v>0</v>
      </c>
      <c r="F112" s="35"/>
      <c r="G112" s="34">
        <f t="shared" si="1"/>
        <v>0</v>
      </c>
      <c r="H112" s="32"/>
      <c r="I112" s="31"/>
    </row>
    <row r="113" spans="1:9" ht="12.75" x14ac:dyDescent="0.2">
      <c r="A113" s="31"/>
      <c r="B113" s="31"/>
      <c r="C113" s="32"/>
      <c r="D113" s="33"/>
      <c r="E113" s="34">
        <f t="shared" si="0"/>
        <v>0</v>
      </c>
      <c r="F113" s="35"/>
      <c r="G113" s="34">
        <f t="shared" si="1"/>
        <v>0</v>
      </c>
      <c r="H113" s="32"/>
      <c r="I113" s="31"/>
    </row>
    <row r="114" spans="1:9" ht="12.75" x14ac:dyDescent="0.2">
      <c r="A114" s="31"/>
      <c r="B114" s="31"/>
      <c r="C114" s="32"/>
      <c r="D114" s="33"/>
      <c r="E114" s="34"/>
      <c r="F114" s="35"/>
      <c r="G114" s="34"/>
      <c r="H114" s="32"/>
      <c r="I114" s="31"/>
    </row>
    <row r="115" spans="1:9" ht="12.75" x14ac:dyDescent="0.2">
      <c r="A115" s="31"/>
      <c r="B115" s="31"/>
      <c r="C115" s="32"/>
      <c r="D115" s="33"/>
      <c r="E115" s="34">
        <f>IF(F115=0,D115*0.1,IF(OR(B115="Descompressão",B115="MS 207002004"),(D115-G115)*0.05,(D115-G115)*0.1))</f>
        <v>0</v>
      </c>
      <c r="F115" s="35"/>
      <c r="G115" s="34">
        <f>IF(F115=100%,D115,IF(F115=0,0,(D115-(D115/(1+F115)))))</f>
        <v>0</v>
      </c>
      <c r="H115" s="32"/>
      <c r="I115" s="31"/>
    </row>
    <row r="116" spans="1:9" ht="12.75" x14ac:dyDescent="0.2">
      <c r="A116" s="270" t="s">
        <v>44</v>
      </c>
      <c r="B116" s="268"/>
      <c r="C116" s="269"/>
      <c r="D116" s="36">
        <f>SUM(D3:D115)</f>
        <v>22141.309999999998</v>
      </c>
      <c r="E116" s="37"/>
      <c r="F116" s="38"/>
      <c r="G116" s="37"/>
      <c r="H116" s="39"/>
      <c r="I116" s="40"/>
    </row>
    <row r="117" spans="1:9" ht="12.75" x14ac:dyDescent="0.2">
      <c r="A117" s="41"/>
      <c r="B117" s="41"/>
      <c r="C117" s="41"/>
      <c r="D117" s="42"/>
      <c r="E117" s="37"/>
      <c r="F117" s="38"/>
      <c r="G117" s="37"/>
      <c r="H117" s="39"/>
      <c r="I117" s="40"/>
    </row>
  </sheetData>
  <autoFilter ref="A2:I115" xr:uid="{00000000-0009-0000-0000-000002000000}"/>
  <mergeCells count="2">
    <mergeCell ref="A116:C116"/>
    <mergeCell ref="A1:I1"/>
  </mergeCells>
  <conditionalFormatting sqref="A1:A117">
    <cfRule type="expression" dxfId="6" priority="1">
      <formula>MATCH(INDIRECT(ADDRESS(ROW(),COLUMN())),INDIRECT("METAS!B:B"),0)&gt;0</formula>
    </cfRule>
  </conditionalFormatting>
  <dataValidations count="2">
    <dataValidation type="list" allowBlank="1" sqref="B3:B115" xr:uid="{00000000-0002-0000-0200-000000000000}">
      <formula1>"URV,RECLASSIFICAÇÃO"</formula1>
    </dataValidation>
    <dataValidation type="list" allowBlank="1" sqref="H3:H115" xr:uid="{00000000-0002-0000-0200-000001000000}">
      <formula1>"ALVARÁS EXPEDIDOS,ALVARÁS RECEBIDOS,EXPEDIR ALVARÁS,REQUERER SEQUESTRO,AGUARDAR PRAZO RPV,AGUARDAR RETORNO DA CONTADORIA,EXPEDIR RPVS,ALVARÁ PARA CORRIGIR,VERIFICAR SE TODOS OS ALVARÁS FORAM RECEBIDOS,PARA IMPLANTAR,PAGO,ENVIAR PARA CONTADORIA,NA CONTADOR"&amp;"IA"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4"/>
  <sheetViews>
    <sheetView workbookViewId="0">
      <pane ySplit="2" topLeftCell="A29" activePane="bottomLeft" state="frozen"/>
      <selection pane="bottomLeft" activeCell="A3" sqref="A3:A55"/>
    </sheetView>
  </sheetViews>
  <sheetFormatPr defaultColWidth="14.42578125" defaultRowHeight="15.75" customHeight="1" x14ac:dyDescent="0.2"/>
  <cols>
    <col min="1" max="1" width="8.85546875" customWidth="1"/>
    <col min="2" max="2" width="16.140625" customWidth="1"/>
    <col min="3" max="3" width="43.5703125" customWidth="1"/>
    <col min="4" max="4" width="10.5703125" customWidth="1"/>
    <col min="5" max="5" width="11.5703125" customWidth="1"/>
    <col min="6" max="6" width="8" customWidth="1"/>
    <col min="7" max="7" width="10.42578125" customWidth="1"/>
    <col min="8" max="8" width="39.5703125" customWidth="1"/>
    <col min="9" max="9" width="7.85546875" customWidth="1"/>
  </cols>
  <sheetData>
    <row r="1" spans="1:9" ht="15.75" customHeight="1" x14ac:dyDescent="0.2">
      <c r="A1" s="267" t="s">
        <v>45</v>
      </c>
      <c r="B1" s="268"/>
      <c r="C1" s="268"/>
      <c r="D1" s="268"/>
      <c r="E1" s="268"/>
      <c r="F1" s="268"/>
      <c r="G1" s="268"/>
      <c r="H1" s="268"/>
      <c r="I1" s="269"/>
    </row>
    <row r="2" spans="1:9" ht="15.75" customHeight="1" x14ac:dyDescent="0.2">
      <c r="A2" s="1" t="s">
        <v>2</v>
      </c>
      <c r="B2" s="2" t="s">
        <v>3</v>
      </c>
      <c r="C2" s="1" t="s">
        <v>5</v>
      </c>
      <c r="D2" s="43" t="s">
        <v>6</v>
      </c>
      <c r="E2" s="3" t="s">
        <v>7</v>
      </c>
      <c r="F2" s="2" t="s">
        <v>8</v>
      </c>
      <c r="G2" s="3" t="s">
        <v>10</v>
      </c>
      <c r="H2" s="2" t="s">
        <v>4</v>
      </c>
      <c r="I2" s="1" t="s">
        <v>12</v>
      </c>
    </row>
    <row r="3" spans="1:9" ht="15.75" customHeight="1" x14ac:dyDescent="0.2">
      <c r="A3" s="44">
        <v>13972003</v>
      </c>
      <c r="B3" s="13" t="s">
        <v>13</v>
      </c>
      <c r="C3" s="14" t="s">
        <v>28</v>
      </c>
      <c r="D3" s="45">
        <v>7453.63</v>
      </c>
      <c r="E3" s="45">
        <f t="shared" ref="E3:E132" si="0">IF(F3=0,D3*0.1,IF(OR(B3="Descompressão",B3="MS 207002004"),(D3-G3)*0.05,(D3-G3)*0.1))</f>
        <v>677.60272727272729</v>
      </c>
      <c r="F3" s="47">
        <v>0.1</v>
      </c>
      <c r="G3" s="45">
        <f t="shared" ref="G3:G132" si="1">IF(F3=100%,D3,IF(F3=0,0,(D3-(D3/(1+F3)))))</f>
        <v>677.60272727272786</v>
      </c>
      <c r="H3" s="14" t="s">
        <v>42</v>
      </c>
      <c r="I3" s="49" t="s">
        <v>51</v>
      </c>
    </row>
    <row r="4" spans="1:9" ht="15.75" customHeight="1" x14ac:dyDescent="0.2">
      <c r="A4" s="51">
        <v>13972003</v>
      </c>
      <c r="B4" s="55" t="s">
        <v>13</v>
      </c>
      <c r="C4" s="53" t="s">
        <v>55</v>
      </c>
      <c r="D4" s="58">
        <v>7450.74</v>
      </c>
      <c r="E4" s="58">
        <f t="shared" si="0"/>
        <v>677.34</v>
      </c>
      <c r="F4" s="60">
        <v>0.1</v>
      </c>
      <c r="G4" s="62">
        <f t="shared" si="1"/>
        <v>677.34000000000015</v>
      </c>
      <c r="H4" s="53" t="s">
        <v>52</v>
      </c>
      <c r="I4" s="66" t="s">
        <v>51</v>
      </c>
    </row>
    <row r="5" spans="1:9" ht="15.75" customHeight="1" x14ac:dyDescent="0.2">
      <c r="A5" s="68">
        <v>13972003</v>
      </c>
      <c r="B5" s="70" t="s">
        <v>13</v>
      </c>
      <c r="C5" s="65" t="s">
        <v>60</v>
      </c>
      <c r="D5" s="72">
        <v>4011.3</v>
      </c>
      <c r="E5" s="72">
        <f t="shared" si="0"/>
        <v>364.66363636363639</v>
      </c>
      <c r="F5" s="74">
        <v>0.1</v>
      </c>
      <c r="G5" s="76">
        <f t="shared" si="1"/>
        <v>364.66363636363667</v>
      </c>
      <c r="H5" s="65" t="s">
        <v>52</v>
      </c>
      <c r="I5" s="81" t="s">
        <v>51</v>
      </c>
    </row>
    <row r="6" spans="1:9" ht="15.75" customHeight="1" x14ac:dyDescent="0.2">
      <c r="A6" s="44">
        <v>47732005</v>
      </c>
      <c r="B6" s="13" t="s">
        <v>14</v>
      </c>
      <c r="C6" s="14" t="s">
        <v>66</v>
      </c>
      <c r="D6" s="83"/>
      <c r="E6" s="45">
        <f t="shared" si="0"/>
        <v>0</v>
      </c>
      <c r="F6" s="47"/>
      <c r="G6" s="45">
        <f t="shared" si="1"/>
        <v>0</v>
      </c>
      <c r="H6" s="14" t="s">
        <v>42</v>
      </c>
      <c r="I6" s="49" t="s">
        <v>51</v>
      </c>
    </row>
    <row r="7" spans="1:9" ht="15.75" customHeight="1" x14ac:dyDescent="0.2">
      <c r="A7" s="85">
        <v>47732005</v>
      </c>
      <c r="B7" s="80" t="s">
        <v>14</v>
      </c>
      <c r="C7" s="82" t="s">
        <v>67</v>
      </c>
      <c r="D7" s="87"/>
      <c r="E7" s="87">
        <f t="shared" si="0"/>
        <v>0</v>
      </c>
      <c r="F7" s="89"/>
      <c r="G7" s="87">
        <f t="shared" si="1"/>
        <v>0</v>
      </c>
      <c r="H7" s="82" t="s">
        <v>42</v>
      </c>
      <c r="I7" s="91" t="s">
        <v>51</v>
      </c>
    </row>
    <row r="8" spans="1:9" ht="15.75" customHeight="1" x14ac:dyDescent="0.2">
      <c r="A8" s="85">
        <v>47732005</v>
      </c>
      <c r="B8" s="80" t="s">
        <v>14</v>
      </c>
      <c r="C8" s="82" t="s">
        <v>68</v>
      </c>
      <c r="D8" s="87"/>
      <c r="E8" s="87">
        <f t="shared" si="0"/>
        <v>0</v>
      </c>
      <c r="F8" s="89"/>
      <c r="G8" s="87">
        <f t="shared" si="1"/>
        <v>0</v>
      </c>
      <c r="H8" s="82" t="s">
        <v>42</v>
      </c>
      <c r="I8" s="91" t="s">
        <v>51</v>
      </c>
    </row>
    <row r="9" spans="1:9" ht="15.75" customHeight="1" x14ac:dyDescent="0.2">
      <c r="A9" s="85">
        <v>47732005</v>
      </c>
      <c r="B9" s="80" t="s">
        <v>14</v>
      </c>
      <c r="C9" s="82" t="s">
        <v>69</v>
      </c>
      <c r="D9" s="87"/>
      <c r="E9" s="87">
        <f t="shared" si="0"/>
        <v>0</v>
      </c>
      <c r="F9" s="89"/>
      <c r="G9" s="87">
        <f t="shared" si="1"/>
        <v>0</v>
      </c>
      <c r="H9" s="82" t="s">
        <v>42</v>
      </c>
      <c r="I9" s="91" t="s">
        <v>51</v>
      </c>
    </row>
    <row r="10" spans="1:9" ht="15.75" customHeight="1" x14ac:dyDescent="0.2">
      <c r="A10" s="85">
        <v>47732005</v>
      </c>
      <c r="B10" s="80" t="s">
        <v>14</v>
      </c>
      <c r="C10" s="82" t="s">
        <v>70</v>
      </c>
      <c r="D10" s="87"/>
      <c r="E10" s="87">
        <f t="shared" si="0"/>
        <v>0</v>
      </c>
      <c r="F10" s="89"/>
      <c r="G10" s="87">
        <f t="shared" si="1"/>
        <v>0</v>
      </c>
      <c r="H10" s="82" t="s">
        <v>42</v>
      </c>
      <c r="I10" s="91" t="s">
        <v>51</v>
      </c>
    </row>
    <row r="11" spans="1:9" ht="15.75" customHeight="1" x14ac:dyDescent="0.2">
      <c r="A11" s="95">
        <v>47732005</v>
      </c>
      <c r="B11" s="20" t="s">
        <v>14</v>
      </c>
      <c r="C11" s="21" t="s">
        <v>72</v>
      </c>
      <c r="D11" s="97"/>
      <c r="E11" s="97">
        <f t="shared" si="0"/>
        <v>0</v>
      </c>
      <c r="F11" s="99"/>
      <c r="G11" s="97">
        <f t="shared" si="1"/>
        <v>0</v>
      </c>
      <c r="H11" s="21" t="s">
        <v>42</v>
      </c>
      <c r="I11" s="102" t="s">
        <v>51</v>
      </c>
    </row>
    <row r="12" spans="1:9" ht="15.75" customHeight="1" x14ac:dyDescent="0.2">
      <c r="A12" s="5">
        <v>8762007</v>
      </c>
      <c r="B12" s="6" t="s">
        <v>13</v>
      </c>
      <c r="C12" s="104" t="s">
        <v>23</v>
      </c>
      <c r="D12" s="106">
        <v>12345.19</v>
      </c>
      <c r="E12" s="106">
        <f t="shared" si="0"/>
        <v>1122.29</v>
      </c>
      <c r="F12" s="108">
        <v>0.1</v>
      </c>
      <c r="G12" s="106">
        <f t="shared" si="1"/>
        <v>1122.2900000000009</v>
      </c>
      <c r="H12" s="7" t="s">
        <v>50</v>
      </c>
      <c r="I12" s="11" t="s">
        <v>51</v>
      </c>
    </row>
    <row r="13" spans="1:9" ht="15.75" customHeight="1" x14ac:dyDescent="0.2">
      <c r="A13" s="5">
        <v>88632011</v>
      </c>
      <c r="B13" s="6" t="s">
        <v>79</v>
      </c>
      <c r="C13" s="7" t="s">
        <v>80</v>
      </c>
      <c r="D13" s="106">
        <v>2479</v>
      </c>
      <c r="E13" s="106">
        <f t="shared" si="0"/>
        <v>215.56521739130437</v>
      </c>
      <c r="F13" s="108">
        <v>0.15</v>
      </c>
      <c r="G13" s="110">
        <f t="shared" si="1"/>
        <v>323.3478260869565</v>
      </c>
      <c r="H13" s="7" t="s">
        <v>82</v>
      </c>
      <c r="I13" s="111" t="s">
        <v>51</v>
      </c>
    </row>
    <row r="14" spans="1:9" ht="15.75" customHeight="1" x14ac:dyDescent="0.2">
      <c r="A14" s="5">
        <v>135882002</v>
      </c>
      <c r="B14" s="6" t="s">
        <v>13</v>
      </c>
      <c r="C14" s="7" t="s">
        <v>18</v>
      </c>
      <c r="D14" s="114"/>
      <c r="E14" s="106">
        <f t="shared" si="0"/>
        <v>0</v>
      </c>
      <c r="F14" s="108"/>
      <c r="G14" s="106">
        <f t="shared" si="1"/>
        <v>0</v>
      </c>
      <c r="H14" s="7" t="s">
        <v>42</v>
      </c>
      <c r="I14" s="111" t="s">
        <v>51</v>
      </c>
    </row>
    <row r="15" spans="1:9" ht="15.75" customHeight="1" x14ac:dyDescent="0.2">
      <c r="A15" s="5">
        <v>204382002</v>
      </c>
      <c r="B15" s="6" t="s">
        <v>13</v>
      </c>
      <c r="C15" s="7" t="s">
        <v>24</v>
      </c>
      <c r="D15" s="106">
        <v>7079.34</v>
      </c>
      <c r="E15" s="106">
        <f t="shared" si="0"/>
        <v>674.22285714285715</v>
      </c>
      <c r="F15" s="108">
        <v>0.05</v>
      </c>
      <c r="G15" s="106">
        <f t="shared" si="1"/>
        <v>337.11142857142931</v>
      </c>
      <c r="H15" s="7" t="s">
        <v>50</v>
      </c>
      <c r="I15" s="111" t="s">
        <v>51</v>
      </c>
    </row>
    <row r="16" spans="1:9" ht="15.75" customHeight="1" x14ac:dyDescent="0.2">
      <c r="A16" s="12">
        <v>305292006</v>
      </c>
      <c r="B16" s="117" t="s">
        <v>25</v>
      </c>
      <c r="C16" s="14" t="s">
        <v>26</v>
      </c>
      <c r="D16" s="83">
        <v>16798.57</v>
      </c>
      <c r="E16" s="45">
        <f t="shared" si="0"/>
        <v>1460.7452173913045</v>
      </c>
      <c r="F16" s="47">
        <v>0.15</v>
      </c>
      <c r="G16" s="45">
        <f t="shared" si="1"/>
        <v>2191.1178260869547</v>
      </c>
      <c r="H16" s="14" t="s">
        <v>50</v>
      </c>
      <c r="I16" s="119" t="s">
        <v>51</v>
      </c>
    </row>
    <row r="17" spans="1:9" ht="15.75" customHeight="1" x14ac:dyDescent="0.2">
      <c r="A17" s="121">
        <v>305292006</v>
      </c>
      <c r="B17" s="122" t="s">
        <v>25</v>
      </c>
      <c r="C17" s="53" t="s">
        <v>91</v>
      </c>
      <c r="D17" s="124">
        <v>16798.57</v>
      </c>
      <c r="E17" s="58">
        <f t="shared" si="0"/>
        <v>1460.7452173913045</v>
      </c>
      <c r="F17" s="60">
        <v>0.15</v>
      </c>
      <c r="G17" s="58">
        <f t="shared" si="1"/>
        <v>2191.1178260869547</v>
      </c>
      <c r="H17" s="126" t="s">
        <v>50</v>
      </c>
      <c r="I17" s="128" t="s">
        <v>51</v>
      </c>
    </row>
    <row r="18" spans="1:9" ht="15.75" customHeight="1" x14ac:dyDescent="0.2">
      <c r="A18" s="121">
        <v>305292006</v>
      </c>
      <c r="B18" s="122" t="s">
        <v>25</v>
      </c>
      <c r="C18" s="53" t="s">
        <v>102</v>
      </c>
      <c r="D18" s="124">
        <v>16798.57</v>
      </c>
      <c r="E18" s="58">
        <f t="shared" si="0"/>
        <v>1460.7452173913045</v>
      </c>
      <c r="F18" s="60">
        <v>0.15</v>
      </c>
      <c r="G18" s="58">
        <f t="shared" si="1"/>
        <v>2191.1178260869547</v>
      </c>
      <c r="H18" s="126" t="s">
        <v>50</v>
      </c>
      <c r="I18" s="128" t="s">
        <v>51</v>
      </c>
    </row>
    <row r="19" spans="1:9" ht="15.75" customHeight="1" x14ac:dyDescent="0.2">
      <c r="A19" s="121">
        <v>305292006</v>
      </c>
      <c r="B19" s="122" t="s">
        <v>25</v>
      </c>
      <c r="C19" s="53" t="s">
        <v>105</v>
      </c>
      <c r="D19" s="58">
        <v>17638</v>
      </c>
      <c r="E19" s="58">
        <f t="shared" si="0"/>
        <v>1533.739130434783</v>
      </c>
      <c r="F19" s="60">
        <v>0.15</v>
      </c>
      <c r="G19" s="58">
        <f t="shared" si="1"/>
        <v>2300.6086956521722</v>
      </c>
      <c r="H19" s="126" t="s">
        <v>50</v>
      </c>
      <c r="I19" s="128" t="s">
        <v>51</v>
      </c>
    </row>
    <row r="20" spans="1:9" ht="15.75" customHeight="1" x14ac:dyDescent="0.2">
      <c r="A20" s="129">
        <v>305292006</v>
      </c>
      <c r="B20" s="130" t="s">
        <v>25</v>
      </c>
      <c r="C20" s="65" t="s">
        <v>111</v>
      </c>
      <c r="D20" s="72">
        <v>15998.8</v>
      </c>
      <c r="E20" s="72">
        <f t="shared" si="0"/>
        <v>1391.2</v>
      </c>
      <c r="F20" s="74">
        <v>0.15</v>
      </c>
      <c r="G20" s="72">
        <f t="shared" si="1"/>
        <v>2086.7999999999993</v>
      </c>
      <c r="H20" s="131" t="s">
        <v>50</v>
      </c>
      <c r="I20" s="132" t="s">
        <v>51</v>
      </c>
    </row>
    <row r="21" spans="1:9" ht="15.75" customHeight="1" x14ac:dyDescent="0.2">
      <c r="A21" s="12">
        <v>344192009</v>
      </c>
      <c r="B21" s="13" t="s">
        <v>14</v>
      </c>
      <c r="C21" s="14" t="s">
        <v>20</v>
      </c>
      <c r="D21" s="45">
        <v>2348.25</v>
      </c>
      <c r="E21" s="83">
        <f t="shared" si="0"/>
        <v>213.47727272727272</v>
      </c>
      <c r="F21" s="47">
        <v>0.1</v>
      </c>
      <c r="G21" s="83">
        <f t="shared" si="1"/>
        <v>213.47727272727298</v>
      </c>
      <c r="H21" s="14" t="s">
        <v>88</v>
      </c>
      <c r="I21" s="119" t="s">
        <v>51</v>
      </c>
    </row>
    <row r="22" spans="1:9" ht="15.75" customHeight="1" x14ac:dyDescent="0.2">
      <c r="A22" s="123">
        <v>344192009</v>
      </c>
      <c r="B22" s="133" t="s">
        <v>14</v>
      </c>
      <c r="C22" s="82" t="s">
        <v>120</v>
      </c>
      <c r="D22" s="87">
        <v>5494.45</v>
      </c>
      <c r="E22" s="135">
        <f t="shared" si="0"/>
        <v>499.49545454545455</v>
      </c>
      <c r="F22" s="89">
        <v>0.1</v>
      </c>
      <c r="G22" s="135">
        <f t="shared" si="1"/>
        <v>499.49545454545478</v>
      </c>
      <c r="H22" s="127" t="s">
        <v>88</v>
      </c>
      <c r="I22" s="94" t="s">
        <v>51</v>
      </c>
    </row>
    <row r="23" spans="1:9" ht="15.75" customHeight="1" x14ac:dyDescent="0.2">
      <c r="A23" s="123">
        <v>344192009</v>
      </c>
      <c r="B23" s="133" t="s">
        <v>14</v>
      </c>
      <c r="C23" s="82" t="s">
        <v>125</v>
      </c>
      <c r="D23" s="87">
        <v>8372.44</v>
      </c>
      <c r="E23" s="135">
        <f t="shared" si="0"/>
        <v>761.13090909090909</v>
      </c>
      <c r="F23" s="89">
        <v>0.1</v>
      </c>
      <c r="G23" s="135">
        <f t="shared" si="1"/>
        <v>761.13090909090988</v>
      </c>
      <c r="H23" s="127" t="s">
        <v>88</v>
      </c>
      <c r="I23" s="94" t="s">
        <v>51</v>
      </c>
    </row>
    <row r="24" spans="1:9" ht="15.75" customHeight="1" x14ac:dyDescent="0.2">
      <c r="A24" s="123">
        <v>344192009</v>
      </c>
      <c r="B24" s="133" t="s">
        <v>14</v>
      </c>
      <c r="C24" s="82" t="s">
        <v>128</v>
      </c>
      <c r="D24" s="87">
        <v>4646.6000000000004</v>
      </c>
      <c r="E24" s="135">
        <f t="shared" si="0"/>
        <v>422.41818181818184</v>
      </c>
      <c r="F24" s="89">
        <v>0.1</v>
      </c>
      <c r="G24" s="135">
        <f t="shared" si="1"/>
        <v>422.41818181818235</v>
      </c>
      <c r="H24" s="127" t="s">
        <v>88</v>
      </c>
      <c r="I24" s="94" t="s">
        <v>51</v>
      </c>
    </row>
    <row r="25" spans="1:9" ht="15.75" customHeight="1" x14ac:dyDescent="0.2">
      <c r="A25" s="123">
        <v>344192009</v>
      </c>
      <c r="B25" s="133" t="s">
        <v>14</v>
      </c>
      <c r="C25" s="82" t="s">
        <v>132</v>
      </c>
      <c r="D25" s="87">
        <v>11258.64</v>
      </c>
      <c r="E25" s="135">
        <f t="shared" si="0"/>
        <v>1023.5127272727273</v>
      </c>
      <c r="F25" s="89">
        <v>0.1</v>
      </c>
      <c r="G25" s="135">
        <f t="shared" si="1"/>
        <v>1023.5127272727277</v>
      </c>
      <c r="H25" s="127" t="s">
        <v>88</v>
      </c>
      <c r="I25" s="94" t="s">
        <v>51</v>
      </c>
    </row>
    <row r="26" spans="1:9" ht="15.75" customHeight="1" x14ac:dyDescent="0.2">
      <c r="A26" s="123">
        <v>344192009</v>
      </c>
      <c r="B26" s="133" t="s">
        <v>14</v>
      </c>
      <c r="C26" s="82" t="s">
        <v>134</v>
      </c>
      <c r="D26" s="87">
        <v>16226.99</v>
      </c>
      <c r="E26" s="135">
        <f t="shared" si="0"/>
        <v>1475.1809090909092</v>
      </c>
      <c r="F26" s="89">
        <v>0.1</v>
      </c>
      <c r="G26" s="135">
        <f t="shared" si="1"/>
        <v>1475.1809090909101</v>
      </c>
      <c r="H26" s="127" t="s">
        <v>88</v>
      </c>
      <c r="I26" s="94" t="s">
        <v>51</v>
      </c>
    </row>
    <row r="27" spans="1:9" ht="15.75" customHeight="1" x14ac:dyDescent="0.2">
      <c r="A27" s="123">
        <v>344192009</v>
      </c>
      <c r="B27" s="133" t="s">
        <v>14</v>
      </c>
      <c r="C27" s="82" t="s">
        <v>136</v>
      </c>
      <c r="D27" s="87">
        <v>16970.62</v>
      </c>
      <c r="E27" s="135">
        <f t="shared" si="0"/>
        <v>1542.7836363636361</v>
      </c>
      <c r="F27" s="89">
        <v>0.1</v>
      </c>
      <c r="G27" s="135">
        <f t="shared" si="1"/>
        <v>1542.7836363636379</v>
      </c>
      <c r="H27" s="127" t="s">
        <v>88</v>
      </c>
      <c r="I27" s="94" t="s">
        <v>51</v>
      </c>
    </row>
    <row r="28" spans="1:9" ht="15.75" customHeight="1" x14ac:dyDescent="0.2">
      <c r="A28" s="123">
        <v>344192009</v>
      </c>
      <c r="B28" s="133" t="s">
        <v>14</v>
      </c>
      <c r="C28" s="82" t="s">
        <v>139</v>
      </c>
      <c r="D28" s="87">
        <v>24507.69</v>
      </c>
      <c r="E28" s="135">
        <f t="shared" si="0"/>
        <v>2227.971818181818</v>
      </c>
      <c r="F28" s="89">
        <v>0.1</v>
      </c>
      <c r="G28" s="135">
        <f t="shared" si="1"/>
        <v>2227.9718181818207</v>
      </c>
      <c r="H28" s="127" t="s">
        <v>88</v>
      </c>
      <c r="I28" s="94" t="s">
        <v>51</v>
      </c>
    </row>
    <row r="29" spans="1:9" ht="15.75" customHeight="1" x14ac:dyDescent="0.2">
      <c r="A29" s="123">
        <v>344192009</v>
      </c>
      <c r="B29" s="133" t="s">
        <v>14</v>
      </c>
      <c r="C29" s="82" t="s">
        <v>142</v>
      </c>
      <c r="D29" s="87">
        <v>10259.94</v>
      </c>
      <c r="E29" s="135">
        <f t="shared" si="0"/>
        <v>932.72181818181821</v>
      </c>
      <c r="F29" s="89">
        <v>0.1</v>
      </c>
      <c r="G29" s="135">
        <f t="shared" si="1"/>
        <v>932.72181818181889</v>
      </c>
      <c r="H29" s="127" t="s">
        <v>88</v>
      </c>
      <c r="I29" s="94" t="s">
        <v>51</v>
      </c>
    </row>
    <row r="30" spans="1:9" ht="15.75" customHeight="1" x14ac:dyDescent="0.2">
      <c r="A30" s="123">
        <v>344192009</v>
      </c>
      <c r="B30" s="133" t="s">
        <v>14</v>
      </c>
      <c r="C30" s="82" t="s">
        <v>145</v>
      </c>
      <c r="D30" s="87">
        <v>4217.76</v>
      </c>
      <c r="E30" s="135">
        <f t="shared" si="0"/>
        <v>383.43272727272728</v>
      </c>
      <c r="F30" s="89">
        <v>0.1</v>
      </c>
      <c r="G30" s="135">
        <f t="shared" si="1"/>
        <v>383.43272727272779</v>
      </c>
      <c r="H30" s="127" t="s">
        <v>88</v>
      </c>
      <c r="I30" s="94" t="s">
        <v>51</v>
      </c>
    </row>
    <row r="31" spans="1:9" ht="15.75" customHeight="1" x14ac:dyDescent="0.2">
      <c r="A31" s="123">
        <v>344192009</v>
      </c>
      <c r="B31" s="133" t="s">
        <v>14</v>
      </c>
      <c r="C31" s="82" t="s">
        <v>149</v>
      </c>
      <c r="D31" s="87">
        <v>2062.36</v>
      </c>
      <c r="E31" s="135">
        <f t="shared" si="0"/>
        <v>187.48727272727274</v>
      </c>
      <c r="F31" s="89">
        <v>0.1</v>
      </c>
      <c r="G31" s="135">
        <f t="shared" si="1"/>
        <v>187.48727272727297</v>
      </c>
      <c r="H31" s="127" t="s">
        <v>88</v>
      </c>
      <c r="I31" s="94" t="s">
        <v>51</v>
      </c>
    </row>
    <row r="32" spans="1:9" ht="15.75" customHeight="1" x14ac:dyDescent="0.2">
      <c r="A32" s="123">
        <v>344192009</v>
      </c>
      <c r="B32" s="133" t="s">
        <v>14</v>
      </c>
      <c r="C32" s="82" t="s">
        <v>152</v>
      </c>
      <c r="D32" s="87">
        <v>2309.46</v>
      </c>
      <c r="E32" s="135">
        <f t="shared" si="0"/>
        <v>209.95090909090911</v>
      </c>
      <c r="F32" s="89">
        <v>0.1</v>
      </c>
      <c r="G32" s="135">
        <f t="shared" si="1"/>
        <v>209.95090909090914</v>
      </c>
      <c r="H32" s="127" t="s">
        <v>88</v>
      </c>
      <c r="I32" s="94" t="s">
        <v>51</v>
      </c>
    </row>
    <row r="33" spans="1:9" ht="15.75" customHeight="1" x14ac:dyDescent="0.2">
      <c r="A33" s="123">
        <v>344192009</v>
      </c>
      <c r="B33" s="133" t="s">
        <v>14</v>
      </c>
      <c r="C33" s="82" t="s">
        <v>156</v>
      </c>
      <c r="D33" s="87">
        <v>7789.98</v>
      </c>
      <c r="E33" s="135">
        <f t="shared" si="0"/>
        <v>708.18</v>
      </c>
      <c r="F33" s="89">
        <v>0.1</v>
      </c>
      <c r="G33" s="135">
        <f t="shared" si="1"/>
        <v>708.18000000000029</v>
      </c>
      <c r="H33" s="127" t="s">
        <v>88</v>
      </c>
      <c r="I33" s="94" t="s">
        <v>51</v>
      </c>
    </row>
    <row r="34" spans="1:9" ht="15.75" customHeight="1" x14ac:dyDescent="0.2">
      <c r="A34" s="123">
        <v>344192009</v>
      </c>
      <c r="B34" s="133" t="s">
        <v>14</v>
      </c>
      <c r="C34" s="82" t="s">
        <v>159</v>
      </c>
      <c r="D34" s="87">
        <v>1257.24</v>
      </c>
      <c r="E34" s="135">
        <f t="shared" si="0"/>
        <v>114.29454545454544</v>
      </c>
      <c r="F34" s="89">
        <v>0.1</v>
      </c>
      <c r="G34" s="135">
        <f t="shared" si="1"/>
        <v>114.29454545454564</v>
      </c>
      <c r="H34" s="127" t="s">
        <v>88</v>
      </c>
      <c r="I34" s="94" t="s">
        <v>51</v>
      </c>
    </row>
    <row r="35" spans="1:9" ht="15.75" customHeight="1" x14ac:dyDescent="0.2">
      <c r="A35" s="136">
        <v>344192009</v>
      </c>
      <c r="B35" s="140" t="s">
        <v>14</v>
      </c>
      <c r="C35" s="21" t="s">
        <v>166</v>
      </c>
      <c r="D35" s="97">
        <v>1117.8900000000001</v>
      </c>
      <c r="E35" s="141">
        <f t="shared" si="0"/>
        <v>101.62636363636364</v>
      </c>
      <c r="F35" s="99">
        <v>0.1</v>
      </c>
      <c r="G35" s="141">
        <f t="shared" si="1"/>
        <v>101.62636363636375</v>
      </c>
      <c r="H35" s="138" t="s">
        <v>88</v>
      </c>
      <c r="I35" s="107" t="s">
        <v>51</v>
      </c>
    </row>
    <row r="36" spans="1:9" ht="15.75" customHeight="1" x14ac:dyDescent="0.2">
      <c r="A36" s="5">
        <v>288232015</v>
      </c>
      <c r="B36" s="6" t="s">
        <v>17</v>
      </c>
      <c r="C36" s="7" t="s">
        <v>18</v>
      </c>
      <c r="D36" s="106">
        <v>2124.38</v>
      </c>
      <c r="E36" s="114">
        <f t="shared" si="0"/>
        <v>0</v>
      </c>
      <c r="F36" s="108">
        <v>1</v>
      </c>
      <c r="G36" s="114">
        <f t="shared" si="1"/>
        <v>2124.38</v>
      </c>
      <c r="H36" s="7" t="s">
        <v>52</v>
      </c>
      <c r="I36" s="111" t="s">
        <v>51</v>
      </c>
    </row>
    <row r="37" spans="1:9" ht="15.75" customHeight="1" x14ac:dyDescent="0.2">
      <c r="A37" s="5">
        <v>87482015</v>
      </c>
      <c r="B37" s="6" t="s">
        <v>17</v>
      </c>
      <c r="C37" s="104" t="s">
        <v>18</v>
      </c>
      <c r="D37" s="114"/>
      <c r="E37" s="114">
        <f t="shared" si="0"/>
        <v>0</v>
      </c>
      <c r="F37" s="108">
        <v>1</v>
      </c>
      <c r="G37" s="114">
        <f t="shared" si="1"/>
        <v>0</v>
      </c>
      <c r="H37" s="7" t="s">
        <v>52</v>
      </c>
      <c r="I37" s="111" t="s">
        <v>51</v>
      </c>
    </row>
    <row r="38" spans="1:9" ht="15.75" customHeight="1" x14ac:dyDescent="0.2">
      <c r="A38" s="5">
        <v>93902015</v>
      </c>
      <c r="B38" s="143" t="s">
        <v>17</v>
      </c>
      <c r="C38" s="104" t="s">
        <v>18</v>
      </c>
      <c r="D38" s="114"/>
      <c r="E38" s="114">
        <f t="shared" si="0"/>
        <v>0</v>
      </c>
      <c r="F38" s="108">
        <v>1</v>
      </c>
      <c r="G38" s="114">
        <f t="shared" si="1"/>
        <v>0</v>
      </c>
      <c r="H38" s="7" t="s">
        <v>52</v>
      </c>
      <c r="I38" s="111" t="s">
        <v>51</v>
      </c>
    </row>
    <row r="39" spans="1:9" ht="12.75" x14ac:dyDescent="0.2">
      <c r="A39" s="5">
        <v>165472015</v>
      </c>
      <c r="B39" s="143" t="s">
        <v>17</v>
      </c>
      <c r="C39" s="104" t="s">
        <v>18</v>
      </c>
      <c r="D39" s="114"/>
      <c r="E39" s="114">
        <f t="shared" si="0"/>
        <v>0</v>
      </c>
      <c r="F39" s="108">
        <v>1</v>
      </c>
      <c r="G39" s="114">
        <f t="shared" si="1"/>
        <v>0</v>
      </c>
      <c r="H39" s="104" t="s">
        <v>42</v>
      </c>
      <c r="I39" s="111" t="s">
        <v>51</v>
      </c>
    </row>
    <row r="40" spans="1:9" ht="12.75" x14ac:dyDescent="0.2">
      <c r="A40" s="5">
        <v>95102003</v>
      </c>
      <c r="B40" s="6" t="s">
        <v>13</v>
      </c>
      <c r="C40" s="7" t="s">
        <v>180</v>
      </c>
      <c r="D40" s="106">
        <v>9759.4</v>
      </c>
      <c r="E40" s="114">
        <f t="shared" si="0"/>
        <v>0</v>
      </c>
      <c r="F40" s="108">
        <v>1</v>
      </c>
      <c r="G40" s="114">
        <f t="shared" si="1"/>
        <v>9759.4</v>
      </c>
      <c r="H40" s="7" t="s">
        <v>88</v>
      </c>
      <c r="I40" s="111" t="s">
        <v>51</v>
      </c>
    </row>
    <row r="41" spans="1:9" ht="12.75" x14ac:dyDescent="0.2">
      <c r="A41" s="12">
        <v>123102009</v>
      </c>
      <c r="B41" s="13" t="s">
        <v>14</v>
      </c>
      <c r="C41" s="14" t="s">
        <v>183</v>
      </c>
      <c r="D41" s="83"/>
      <c r="E41" s="83">
        <f t="shared" si="0"/>
        <v>0</v>
      </c>
      <c r="F41" s="47">
        <v>0.1</v>
      </c>
      <c r="G41" s="83">
        <f t="shared" si="1"/>
        <v>0</v>
      </c>
      <c r="H41" s="139" t="s">
        <v>88</v>
      </c>
      <c r="I41" s="119" t="s">
        <v>51</v>
      </c>
    </row>
    <row r="42" spans="1:9" ht="12.75" x14ac:dyDescent="0.2">
      <c r="A42" s="123">
        <v>123102009</v>
      </c>
      <c r="B42" s="133" t="s">
        <v>14</v>
      </c>
      <c r="C42" s="82" t="s">
        <v>186</v>
      </c>
      <c r="D42" s="135"/>
      <c r="E42" s="135">
        <f t="shared" si="0"/>
        <v>0</v>
      </c>
      <c r="F42" s="89">
        <v>0.1</v>
      </c>
      <c r="G42" s="135">
        <f t="shared" si="1"/>
        <v>0</v>
      </c>
      <c r="H42" s="127" t="s">
        <v>88</v>
      </c>
      <c r="I42" s="94" t="s">
        <v>51</v>
      </c>
    </row>
    <row r="43" spans="1:9" ht="12.75" x14ac:dyDescent="0.2">
      <c r="A43" s="123">
        <v>123102009</v>
      </c>
      <c r="B43" s="133" t="s">
        <v>14</v>
      </c>
      <c r="C43" s="82" t="s">
        <v>189</v>
      </c>
      <c r="D43" s="135"/>
      <c r="E43" s="135">
        <f t="shared" si="0"/>
        <v>0</v>
      </c>
      <c r="F43" s="89">
        <v>0.1</v>
      </c>
      <c r="G43" s="135">
        <f t="shared" si="1"/>
        <v>0</v>
      </c>
      <c r="H43" s="127" t="s">
        <v>88</v>
      </c>
      <c r="I43" s="94" t="s">
        <v>51</v>
      </c>
    </row>
    <row r="44" spans="1:9" ht="12.75" x14ac:dyDescent="0.2">
      <c r="A44" s="123">
        <v>123102009</v>
      </c>
      <c r="B44" s="133" t="s">
        <v>14</v>
      </c>
      <c r="C44" s="82" t="s">
        <v>191</v>
      </c>
      <c r="D44" s="135"/>
      <c r="E44" s="135">
        <f t="shared" si="0"/>
        <v>0</v>
      </c>
      <c r="F44" s="89">
        <v>0.1</v>
      </c>
      <c r="G44" s="135">
        <f t="shared" si="1"/>
        <v>0</v>
      </c>
      <c r="H44" s="127" t="s">
        <v>88</v>
      </c>
      <c r="I44" s="94" t="s">
        <v>51</v>
      </c>
    </row>
    <row r="45" spans="1:9" ht="12.75" x14ac:dyDescent="0.2">
      <c r="A45" s="123">
        <v>123102009</v>
      </c>
      <c r="B45" s="133" t="s">
        <v>14</v>
      </c>
      <c r="C45" s="82" t="s">
        <v>194</v>
      </c>
      <c r="D45" s="135"/>
      <c r="E45" s="135">
        <f t="shared" si="0"/>
        <v>0</v>
      </c>
      <c r="F45" s="89">
        <v>0.1</v>
      </c>
      <c r="G45" s="135">
        <f t="shared" si="1"/>
        <v>0</v>
      </c>
      <c r="H45" s="127" t="s">
        <v>88</v>
      </c>
      <c r="I45" s="94" t="s">
        <v>51</v>
      </c>
    </row>
    <row r="46" spans="1:9" ht="12.75" x14ac:dyDescent="0.2">
      <c r="A46" s="123">
        <v>123102009</v>
      </c>
      <c r="B46" s="133" t="s">
        <v>14</v>
      </c>
      <c r="C46" s="82" t="s">
        <v>197</v>
      </c>
      <c r="D46" s="135"/>
      <c r="E46" s="135">
        <f t="shared" si="0"/>
        <v>0</v>
      </c>
      <c r="F46" s="89">
        <v>0.1</v>
      </c>
      <c r="G46" s="135">
        <f t="shared" si="1"/>
        <v>0</v>
      </c>
      <c r="H46" s="127" t="s">
        <v>88</v>
      </c>
      <c r="I46" s="94" t="s">
        <v>51</v>
      </c>
    </row>
    <row r="47" spans="1:9" ht="12.75" x14ac:dyDescent="0.2">
      <c r="A47" s="123">
        <v>123102009</v>
      </c>
      <c r="B47" s="133" t="s">
        <v>14</v>
      </c>
      <c r="C47" s="82" t="s">
        <v>199</v>
      </c>
      <c r="D47" s="135"/>
      <c r="E47" s="135">
        <f t="shared" si="0"/>
        <v>0</v>
      </c>
      <c r="F47" s="89">
        <v>0.1</v>
      </c>
      <c r="G47" s="135">
        <f t="shared" si="1"/>
        <v>0</v>
      </c>
      <c r="H47" s="127" t="s">
        <v>88</v>
      </c>
      <c r="I47" s="94" t="s">
        <v>51</v>
      </c>
    </row>
    <row r="48" spans="1:9" ht="12.75" x14ac:dyDescent="0.2">
      <c r="A48" s="123">
        <v>123102009</v>
      </c>
      <c r="B48" s="133" t="s">
        <v>14</v>
      </c>
      <c r="C48" s="82" t="s">
        <v>201</v>
      </c>
      <c r="D48" s="135"/>
      <c r="E48" s="135">
        <f t="shared" si="0"/>
        <v>0</v>
      </c>
      <c r="F48" s="89">
        <v>0.1</v>
      </c>
      <c r="G48" s="135">
        <f t="shared" si="1"/>
        <v>0</v>
      </c>
      <c r="H48" s="127" t="s">
        <v>88</v>
      </c>
      <c r="I48" s="94" t="s">
        <v>51</v>
      </c>
    </row>
    <row r="49" spans="1:9" ht="12.75" x14ac:dyDescent="0.2">
      <c r="A49" s="123">
        <v>123102009</v>
      </c>
      <c r="B49" s="133" t="s">
        <v>14</v>
      </c>
      <c r="C49" s="82" t="s">
        <v>204</v>
      </c>
      <c r="D49" s="135"/>
      <c r="E49" s="135">
        <f t="shared" si="0"/>
        <v>0</v>
      </c>
      <c r="F49" s="89">
        <v>0.1</v>
      </c>
      <c r="G49" s="135">
        <f t="shared" si="1"/>
        <v>0</v>
      </c>
      <c r="H49" s="127" t="s">
        <v>88</v>
      </c>
      <c r="I49" s="94" t="s">
        <v>51</v>
      </c>
    </row>
    <row r="50" spans="1:9" ht="12.75" x14ac:dyDescent="0.2">
      <c r="A50" s="123">
        <v>123102009</v>
      </c>
      <c r="B50" s="133" t="s">
        <v>14</v>
      </c>
      <c r="C50" s="82" t="s">
        <v>207</v>
      </c>
      <c r="D50" s="135"/>
      <c r="E50" s="135">
        <f t="shared" si="0"/>
        <v>0</v>
      </c>
      <c r="F50" s="89">
        <v>0.1</v>
      </c>
      <c r="G50" s="135">
        <f t="shared" si="1"/>
        <v>0</v>
      </c>
      <c r="H50" s="127" t="s">
        <v>88</v>
      </c>
      <c r="I50" s="94" t="s">
        <v>51</v>
      </c>
    </row>
    <row r="51" spans="1:9" ht="12.75" x14ac:dyDescent="0.2">
      <c r="A51" s="123">
        <v>123102009</v>
      </c>
      <c r="B51" s="133" t="s">
        <v>14</v>
      </c>
      <c r="C51" s="82" t="s">
        <v>212</v>
      </c>
      <c r="D51" s="135"/>
      <c r="E51" s="135">
        <f t="shared" si="0"/>
        <v>0</v>
      </c>
      <c r="F51" s="89">
        <v>0.1</v>
      </c>
      <c r="G51" s="135">
        <f t="shared" si="1"/>
        <v>0</v>
      </c>
      <c r="H51" s="127" t="s">
        <v>88</v>
      </c>
      <c r="I51" s="94" t="s">
        <v>51</v>
      </c>
    </row>
    <row r="52" spans="1:9" ht="12.75" x14ac:dyDescent="0.2">
      <c r="A52" s="123">
        <v>123102009</v>
      </c>
      <c r="B52" s="133" t="s">
        <v>14</v>
      </c>
      <c r="C52" s="82" t="s">
        <v>215</v>
      </c>
      <c r="D52" s="135"/>
      <c r="E52" s="135">
        <f t="shared" si="0"/>
        <v>0</v>
      </c>
      <c r="F52" s="89">
        <v>0.1</v>
      </c>
      <c r="G52" s="135">
        <f t="shared" si="1"/>
        <v>0</v>
      </c>
      <c r="H52" s="127" t="s">
        <v>88</v>
      </c>
      <c r="I52" s="94" t="s">
        <v>51</v>
      </c>
    </row>
    <row r="53" spans="1:9" ht="12.75" x14ac:dyDescent="0.2">
      <c r="A53" s="123">
        <v>123102009</v>
      </c>
      <c r="B53" s="133" t="s">
        <v>14</v>
      </c>
      <c r="C53" s="82" t="s">
        <v>218</v>
      </c>
      <c r="D53" s="135"/>
      <c r="E53" s="135">
        <f t="shared" si="0"/>
        <v>0</v>
      </c>
      <c r="F53" s="89">
        <v>0.1</v>
      </c>
      <c r="G53" s="135">
        <f t="shared" si="1"/>
        <v>0</v>
      </c>
      <c r="H53" s="127" t="s">
        <v>88</v>
      </c>
      <c r="I53" s="94" t="s">
        <v>51</v>
      </c>
    </row>
    <row r="54" spans="1:9" ht="12.75" x14ac:dyDescent="0.2">
      <c r="A54" s="123">
        <v>123102009</v>
      </c>
      <c r="B54" s="133" t="s">
        <v>14</v>
      </c>
      <c r="C54" s="82" t="s">
        <v>221</v>
      </c>
      <c r="D54" s="135"/>
      <c r="E54" s="135">
        <f t="shared" si="0"/>
        <v>0</v>
      </c>
      <c r="F54" s="89">
        <v>0.1</v>
      </c>
      <c r="G54" s="135">
        <f t="shared" si="1"/>
        <v>0</v>
      </c>
      <c r="H54" s="127" t="s">
        <v>88</v>
      </c>
      <c r="I54" s="94" t="s">
        <v>51</v>
      </c>
    </row>
    <row r="55" spans="1:9" ht="12.75" x14ac:dyDescent="0.2">
      <c r="A55" s="136">
        <v>123102009</v>
      </c>
      <c r="B55" s="140" t="s">
        <v>14</v>
      </c>
      <c r="C55" s="21" t="s">
        <v>223</v>
      </c>
      <c r="D55" s="141"/>
      <c r="E55" s="141">
        <f t="shared" si="0"/>
        <v>0</v>
      </c>
      <c r="F55" s="99">
        <v>0.1</v>
      </c>
      <c r="G55" s="141">
        <f t="shared" si="1"/>
        <v>0</v>
      </c>
      <c r="H55" s="138" t="s">
        <v>88</v>
      </c>
      <c r="I55" s="107" t="s">
        <v>51</v>
      </c>
    </row>
    <row r="56" spans="1:9" ht="12.75" x14ac:dyDescent="0.2">
      <c r="A56" s="26"/>
      <c r="B56" s="26"/>
      <c r="C56" s="27"/>
      <c r="D56" s="135"/>
      <c r="E56" s="135">
        <f t="shared" si="0"/>
        <v>0</v>
      </c>
      <c r="F56" s="150"/>
      <c r="G56" s="135">
        <f t="shared" si="1"/>
        <v>0</v>
      </c>
      <c r="H56" s="27"/>
      <c r="I56" s="26"/>
    </row>
    <row r="57" spans="1:9" ht="12.75" x14ac:dyDescent="0.2">
      <c r="A57" s="26"/>
      <c r="B57" s="26"/>
      <c r="C57" s="27"/>
      <c r="D57" s="135"/>
      <c r="E57" s="135">
        <f t="shared" si="0"/>
        <v>0</v>
      </c>
      <c r="F57" s="150"/>
      <c r="G57" s="135">
        <f t="shared" si="1"/>
        <v>0</v>
      </c>
      <c r="H57" s="27"/>
      <c r="I57" s="26"/>
    </row>
    <row r="58" spans="1:9" ht="12.75" x14ac:dyDescent="0.2">
      <c r="A58" s="26"/>
      <c r="B58" s="26"/>
      <c r="C58" s="27"/>
      <c r="D58" s="135"/>
      <c r="E58" s="135">
        <f t="shared" si="0"/>
        <v>0</v>
      </c>
      <c r="F58" s="150"/>
      <c r="G58" s="135">
        <f t="shared" si="1"/>
        <v>0</v>
      </c>
      <c r="H58" s="27"/>
      <c r="I58" s="26"/>
    </row>
    <row r="59" spans="1:9" ht="12.75" x14ac:dyDescent="0.2">
      <c r="A59" s="26"/>
      <c r="B59" s="26"/>
      <c r="C59" s="27"/>
      <c r="D59" s="135"/>
      <c r="E59" s="135">
        <f t="shared" si="0"/>
        <v>0</v>
      </c>
      <c r="F59" s="150"/>
      <c r="G59" s="135">
        <f t="shared" si="1"/>
        <v>0</v>
      </c>
      <c r="H59" s="27"/>
      <c r="I59" s="26"/>
    </row>
    <row r="60" spans="1:9" ht="12.75" x14ac:dyDescent="0.2">
      <c r="A60" s="26"/>
      <c r="B60" s="26"/>
      <c r="C60" s="27"/>
      <c r="D60" s="135"/>
      <c r="E60" s="135">
        <f t="shared" si="0"/>
        <v>0</v>
      </c>
      <c r="F60" s="150"/>
      <c r="G60" s="135">
        <f t="shared" si="1"/>
        <v>0</v>
      </c>
      <c r="H60" s="27"/>
      <c r="I60" s="26"/>
    </row>
    <row r="61" spans="1:9" ht="12.75" x14ac:dyDescent="0.2">
      <c r="A61" s="26"/>
      <c r="B61" s="26"/>
      <c r="C61" s="27"/>
      <c r="D61" s="135"/>
      <c r="E61" s="135">
        <f t="shared" si="0"/>
        <v>0</v>
      </c>
      <c r="F61" s="150"/>
      <c r="G61" s="135">
        <f t="shared" si="1"/>
        <v>0</v>
      </c>
      <c r="H61" s="27"/>
      <c r="I61" s="26"/>
    </row>
    <row r="62" spans="1:9" ht="12.75" x14ac:dyDescent="0.2">
      <c r="A62" s="26"/>
      <c r="B62" s="26"/>
      <c r="C62" s="27"/>
      <c r="D62" s="135"/>
      <c r="E62" s="135">
        <f t="shared" si="0"/>
        <v>0</v>
      </c>
      <c r="F62" s="150"/>
      <c r="G62" s="135">
        <f t="shared" si="1"/>
        <v>0</v>
      </c>
      <c r="H62" s="27"/>
      <c r="I62" s="26"/>
    </row>
    <row r="63" spans="1:9" ht="12.75" x14ac:dyDescent="0.2">
      <c r="A63" s="26"/>
      <c r="B63" s="26"/>
      <c r="C63" s="27"/>
      <c r="D63" s="135"/>
      <c r="E63" s="135">
        <f t="shared" si="0"/>
        <v>0</v>
      </c>
      <c r="F63" s="150"/>
      <c r="G63" s="135">
        <f t="shared" si="1"/>
        <v>0</v>
      </c>
      <c r="H63" s="27"/>
      <c r="I63" s="26"/>
    </row>
    <row r="64" spans="1:9" ht="12.75" x14ac:dyDescent="0.2">
      <c r="A64" s="26"/>
      <c r="B64" s="26"/>
      <c r="C64" s="27"/>
      <c r="D64" s="135"/>
      <c r="E64" s="135">
        <f t="shared" si="0"/>
        <v>0</v>
      </c>
      <c r="F64" s="150"/>
      <c r="G64" s="135">
        <f t="shared" si="1"/>
        <v>0</v>
      </c>
      <c r="H64" s="27"/>
      <c r="I64" s="26"/>
    </row>
    <row r="65" spans="1:9" ht="12.75" x14ac:dyDescent="0.2">
      <c r="A65" s="26"/>
      <c r="B65" s="26"/>
      <c r="C65" s="27"/>
      <c r="D65" s="135"/>
      <c r="E65" s="135">
        <f t="shared" si="0"/>
        <v>0</v>
      </c>
      <c r="F65" s="150"/>
      <c r="G65" s="135">
        <f t="shared" si="1"/>
        <v>0</v>
      </c>
      <c r="H65" s="27"/>
      <c r="I65" s="26"/>
    </row>
    <row r="66" spans="1:9" ht="12.75" x14ac:dyDescent="0.2">
      <c r="A66" s="26"/>
      <c r="B66" s="26"/>
      <c r="C66" s="27"/>
      <c r="D66" s="135"/>
      <c r="E66" s="135">
        <f t="shared" si="0"/>
        <v>0</v>
      </c>
      <c r="F66" s="150"/>
      <c r="G66" s="135">
        <f t="shared" si="1"/>
        <v>0</v>
      </c>
      <c r="H66" s="27"/>
      <c r="I66" s="26"/>
    </row>
    <row r="67" spans="1:9" ht="12.75" x14ac:dyDescent="0.2">
      <c r="A67" s="26"/>
      <c r="B67" s="26"/>
      <c r="C67" s="27"/>
      <c r="D67" s="135"/>
      <c r="E67" s="135">
        <f t="shared" si="0"/>
        <v>0</v>
      </c>
      <c r="F67" s="150"/>
      <c r="G67" s="135">
        <f t="shared" si="1"/>
        <v>0</v>
      </c>
      <c r="H67" s="27"/>
      <c r="I67" s="26"/>
    </row>
    <row r="68" spans="1:9" ht="12.75" x14ac:dyDescent="0.2">
      <c r="A68" s="26"/>
      <c r="B68" s="26"/>
      <c r="C68" s="27"/>
      <c r="D68" s="135"/>
      <c r="E68" s="135">
        <f t="shared" si="0"/>
        <v>0</v>
      </c>
      <c r="F68" s="150"/>
      <c r="G68" s="135">
        <f t="shared" si="1"/>
        <v>0</v>
      </c>
      <c r="H68" s="27"/>
      <c r="I68" s="26"/>
    </row>
    <row r="69" spans="1:9" ht="12.75" x14ac:dyDescent="0.2">
      <c r="A69" s="26"/>
      <c r="B69" s="26"/>
      <c r="C69" s="27"/>
      <c r="D69" s="135"/>
      <c r="E69" s="135">
        <f t="shared" si="0"/>
        <v>0</v>
      </c>
      <c r="F69" s="150"/>
      <c r="G69" s="135">
        <f t="shared" si="1"/>
        <v>0</v>
      </c>
      <c r="H69" s="27"/>
      <c r="I69" s="26"/>
    </row>
    <row r="70" spans="1:9" ht="12.75" x14ac:dyDescent="0.2">
      <c r="A70" s="26"/>
      <c r="B70" s="26"/>
      <c r="C70" s="27"/>
      <c r="D70" s="135"/>
      <c r="E70" s="135">
        <f t="shared" si="0"/>
        <v>0</v>
      </c>
      <c r="F70" s="150"/>
      <c r="G70" s="135">
        <f t="shared" si="1"/>
        <v>0</v>
      </c>
      <c r="H70" s="27"/>
      <c r="I70" s="26"/>
    </row>
    <row r="71" spans="1:9" ht="12.75" x14ac:dyDescent="0.2">
      <c r="A71" s="26"/>
      <c r="B71" s="26"/>
      <c r="C71" s="27"/>
      <c r="D71" s="135"/>
      <c r="E71" s="135">
        <f t="shared" si="0"/>
        <v>0</v>
      </c>
      <c r="F71" s="150"/>
      <c r="G71" s="135">
        <f t="shared" si="1"/>
        <v>0</v>
      </c>
      <c r="H71" s="27"/>
      <c r="I71" s="26"/>
    </row>
    <row r="72" spans="1:9" ht="12.75" x14ac:dyDescent="0.2">
      <c r="A72" s="26"/>
      <c r="B72" s="26"/>
      <c r="C72" s="27"/>
      <c r="D72" s="135"/>
      <c r="E72" s="135">
        <f t="shared" si="0"/>
        <v>0</v>
      </c>
      <c r="F72" s="150"/>
      <c r="G72" s="135">
        <f t="shared" si="1"/>
        <v>0</v>
      </c>
      <c r="H72" s="27"/>
      <c r="I72" s="26"/>
    </row>
    <row r="73" spans="1:9" ht="12.75" x14ac:dyDescent="0.2">
      <c r="A73" s="26"/>
      <c r="B73" s="26"/>
      <c r="C73" s="27"/>
      <c r="D73" s="135"/>
      <c r="E73" s="135">
        <f t="shared" si="0"/>
        <v>0</v>
      </c>
      <c r="F73" s="150"/>
      <c r="G73" s="135">
        <f t="shared" si="1"/>
        <v>0</v>
      </c>
      <c r="H73" s="27"/>
      <c r="I73" s="26"/>
    </row>
    <row r="74" spans="1:9" ht="12.75" x14ac:dyDescent="0.2">
      <c r="A74" s="26"/>
      <c r="B74" s="26"/>
      <c r="C74" s="27"/>
      <c r="D74" s="135"/>
      <c r="E74" s="135">
        <f t="shared" si="0"/>
        <v>0</v>
      </c>
      <c r="F74" s="150"/>
      <c r="G74" s="135">
        <f t="shared" si="1"/>
        <v>0</v>
      </c>
      <c r="H74" s="27"/>
      <c r="I74" s="26"/>
    </row>
    <row r="75" spans="1:9" ht="12.75" x14ac:dyDescent="0.2">
      <c r="A75" s="26"/>
      <c r="B75" s="26"/>
      <c r="C75" s="27"/>
      <c r="D75" s="135"/>
      <c r="E75" s="135">
        <f t="shared" si="0"/>
        <v>0</v>
      </c>
      <c r="F75" s="150"/>
      <c r="G75" s="135">
        <f t="shared" si="1"/>
        <v>0</v>
      </c>
      <c r="H75" s="27"/>
      <c r="I75" s="26"/>
    </row>
    <row r="76" spans="1:9" ht="12.75" x14ac:dyDescent="0.2">
      <c r="A76" s="26"/>
      <c r="B76" s="26"/>
      <c r="C76" s="27"/>
      <c r="D76" s="135"/>
      <c r="E76" s="135">
        <f t="shared" si="0"/>
        <v>0</v>
      </c>
      <c r="F76" s="150"/>
      <c r="G76" s="135">
        <f t="shared" si="1"/>
        <v>0</v>
      </c>
      <c r="H76" s="27"/>
      <c r="I76" s="26"/>
    </row>
    <row r="77" spans="1:9" ht="12.75" x14ac:dyDescent="0.2">
      <c r="A77" s="31"/>
      <c r="B77" s="31"/>
      <c r="C77" s="32"/>
      <c r="D77" s="124"/>
      <c r="E77" s="124">
        <f t="shared" si="0"/>
        <v>0</v>
      </c>
      <c r="F77" s="151"/>
      <c r="G77" s="124">
        <f t="shared" si="1"/>
        <v>0</v>
      </c>
      <c r="H77" s="32"/>
      <c r="I77" s="31"/>
    </row>
    <row r="78" spans="1:9" ht="12.75" x14ac:dyDescent="0.2">
      <c r="A78" s="31"/>
      <c r="B78" s="31"/>
      <c r="C78" s="32"/>
      <c r="D78" s="124"/>
      <c r="E78" s="124">
        <f t="shared" si="0"/>
        <v>0</v>
      </c>
      <c r="F78" s="151"/>
      <c r="G78" s="124">
        <f t="shared" si="1"/>
        <v>0</v>
      </c>
      <c r="H78" s="32"/>
      <c r="I78" s="31"/>
    </row>
    <row r="79" spans="1:9" ht="12.75" x14ac:dyDescent="0.2">
      <c r="A79" s="26"/>
      <c r="B79" s="26"/>
      <c r="C79" s="27"/>
      <c r="D79" s="135"/>
      <c r="E79" s="135">
        <f t="shared" si="0"/>
        <v>0</v>
      </c>
      <c r="F79" s="150"/>
      <c r="G79" s="135">
        <f t="shared" si="1"/>
        <v>0</v>
      </c>
      <c r="H79" s="27"/>
      <c r="I79" s="26"/>
    </row>
    <row r="80" spans="1:9" ht="12.75" x14ac:dyDescent="0.2">
      <c r="A80" s="31"/>
      <c r="B80" s="31"/>
      <c r="C80" s="32"/>
      <c r="D80" s="124"/>
      <c r="E80" s="124">
        <f t="shared" si="0"/>
        <v>0</v>
      </c>
      <c r="F80" s="151"/>
      <c r="G80" s="124">
        <f t="shared" si="1"/>
        <v>0</v>
      </c>
      <c r="H80" s="32"/>
      <c r="I80" s="31"/>
    </row>
    <row r="81" spans="1:9" ht="12.75" x14ac:dyDescent="0.2">
      <c r="A81" s="31"/>
      <c r="B81" s="31"/>
      <c r="C81" s="32"/>
      <c r="D81" s="124"/>
      <c r="E81" s="124">
        <f t="shared" si="0"/>
        <v>0</v>
      </c>
      <c r="F81" s="151"/>
      <c r="G81" s="124">
        <f t="shared" si="1"/>
        <v>0</v>
      </c>
      <c r="H81" s="32"/>
      <c r="I81" s="31"/>
    </row>
    <row r="82" spans="1:9" ht="12.75" x14ac:dyDescent="0.2">
      <c r="A82" s="31"/>
      <c r="B82" s="31"/>
      <c r="C82" s="32"/>
      <c r="D82" s="124"/>
      <c r="E82" s="124">
        <f t="shared" si="0"/>
        <v>0</v>
      </c>
      <c r="F82" s="151"/>
      <c r="G82" s="124">
        <f t="shared" si="1"/>
        <v>0</v>
      </c>
      <c r="H82" s="32"/>
      <c r="I82" s="31"/>
    </row>
    <row r="83" spans="1:9" ht="12.75" x14ac:dyDescent="0.2">
      <c r="A83" s="31"/>
      <c r="B83" s="31"/>
      <c r="C83" s="32"/>
      <c r="D83" s="124"/>
      <c r="E83" s="124">
        <f t="shared" si="0"/>
        <v>0</v>
      </c>
      <c r="F83" s="151"/>
      <c r="G83" s="124">
        <f t="shared" si="1"/>
        <v>0</v>
      </c>
      <c r="H83" s="32"/>
      <c r="I83" s="31"/>
    </row>
    <row r="84" spans="1:9" ht="12.75" x14ac:dyDescent="0.2">
      <c r="A84" s="31"/>
      <c r="B84" s="31"/>
      <c r="C84" s="32"/>
      <c r="D84" s="124"/>
      <c r="E84" s="124">
        <f t="shared" si="0"/>
        <v>0</v>
      </c>
      <c r="F84" s="151"/>
      <c r="G84" s="124">
        <f t="shared" si="1"/>
        <v>0</v>
      </c>
      <c r="H84" s="32"/>
      <c r="I84" s="31"/>
    </row>
    <row r="85" spans="1:9" ht="12.75" x14ac:dyDescent="0.2">
      <c r="A85" s="31"/>
      <c r="B85" s="31"/>
      <c r="C85" s="32"/>
      <c r="D85" s="124"/>
      <c r="E85" s="124">
        <f t="shared" si="0"/>
        <v>0</v>
      </c>
      <c r="F85" s="151"/>
      <c r="G85" s="124">
        <f t="shared" si="1"/>
        <v>0</v>
      </c>
      <c r="H85" s="32"/>
      <c r="I85" s="31"/>
    </row>
    <row r="86" spans="1:9" ht="12.75" x14ac:dyDescent="0.2">
      <c r="A86" s="31"/>
      <c r="B86" s="31"/>
      <c r="C86" s="32"/>
      <c r="D86" s="124"/>
      <c r="E86" s="124">
        <f t="shared" si="0"/>
        <v>0</v>
      </c>
      <c r="F86" s="151"/>
      <c r="G86" s="124">
        <f t="shared" si="1"/>
        <v>0</v>
      </c>
      <c r="H86" s="32"/>
      <c r="I86" s="31"/>
    </row>
    <row r="87" spans="1:9" ht="12.75" x14ac:dyDescent="0.2">
      <c r="A87" s="31"/>
      <c r="B87" s="31"/>
      <c r="C87" s="32"/>
      <c r="D87" s="124"/>
      <c r="E87" s="124">
        <f t="shared" si="0"/>
        <v>0</v>
      </c>
      <c r="F87" s="151"/>
      <c r="G87" s="124">
        <f t="shared" si="1"/>
        <v>0</v>
      </c>
      <c r="H87" s="32"/>
      <c r="I87" s="31"/>
    </row>
    <row r="88" spans="1:9" ht="12.75" x14ac:dyDescent="0.2">
      <c r="A88" s="31"/>
      <c r="B88" s="31"/>
      <c r="C88" s="32"/>
      <c r="D88" s="124"/>
      <c r="E88" s="124">
        <f t="shared" si="0"/>
        <v>0</v>
      </c>
      <c r="F88" s="151"/>
      <c r="G88" s="124">
        <f t="shared" si="1"/>
        <v>0</v>
      </c>
      <c r="H88" s="32"/>
      <c r="I88" s="31"/>
    </row>
    <row r="89" spans="1:9" ht="12.75" x14ac:dyDescent="0.2">
      <c r="A89" s="31"/>
      <c r="B89" s="31"/>
      <c r="C89" s="32"/>
      <c r="D89" s="124"/>
      <c r="E89" s="124">
        <f t="shared" si="0"/>
        <v>0</v>
      </c>
      <c r="F89" s="151"/>
      <c r="G89" s="124">
        <f t="shared" si="1"/>
        <v>0</v>
      </c>
      <c r="H89" s="32"/>
      <c r="I89" s="31"/>
    </row>
    <row r="90" spans="1:9" ht="12.75" x14ac:dyDescent="0.2">
      <c r="A90" s="31"/>
      <c r="B90" s="31"/>
      <c r="C90" s="32"/>
      <c r="D90" s="124"/>
      <c r="E90" s="124">
        <f t="shared" si="0"/>
        <v>0</v>
      </c>
      <c r="F90" s="151"/>
      <c r="G90" s="124">
        <f t="shared" si="1"/>
        <v>0</v>
      </c>
      <c r="H90" s="32"/>
      <c r="I90" s="31"/>
    </row>
    <row r="91" spans="1:9" ht="12.75" x14ac:dyDescent="0.2">
      <c r="A91" s="31"/>
      <c r="B91" s="31"/>
      <c r="C91" s="32"/>
      <c r="D91" s="124"/>
      <c r="E91" s="124">
        <f t="shared" si="0"/>
        <v>0</v>
      </c>
      <c r="F91" s="151"/>
      <c r="G91" s="124">
        <f t="shared" si="1"/>
        <v>0</v>
      </c>
      <c r="H91" s="32"/>
      <c r="I91" s="31"/>
    </row>
    <row r="92" spans="1:9" ht="12.75" x14ac:dyDescent="0.2">
      <c r="A92" s="31"/>
      <c r="B92" s="31"/>
      <c r="C92" s="32"/>
      <c r="D92" s="124"/>
      <c r="E92" s="124">
        <f t="shared" si="0"/>
        <v>0</v>
      </c>
      <c r="F92" s="151"/>
      <c r="G92" s="124">
        <f t="shared" si="1"/>
        <v>0</v>
      </c>
      <c r="H92" s="32"/>
      <c r="I92" s="31"/>
    </row>
    <row r="93" spans="1:9" ht="12.75" x14ac:dyDescent="0.2">
      <c r="A93" s="31"/>
      <c r="B93" s="31"/>
      <c r="C93" s="32"/>
      <c r="D93" s="124"/>
      <c r="E93" s="124">
        <f t="shared" si="0"/>
        <v>0</v>
      </c>
      <c r="F93" s="151"/>
      <c r="G93" s="124">
        <f t="shared" si="1"/>
        <v>0</v>
      </c>
      <c r="H93" s="32"/>
      <c r="I93" s="31"/>
    </row>
    <row r="94" spans="1:9" ht="12.75" x14ac:dyDescent="0.2">
      <c r="A94" s="31"/>
      <c r="B94" s="31"/>
      <c r="C94" s="32"/>
      <c r="D94" s="124"/>
      <c r="E94" s="124">
        <f t="shared" si="0"/>
        <v>0</v>
      </c>
      <c r="F94" s="151"/>
      <c r="G94" s="124">
        <f t="shared" si="1"/>
        <v>0</v>
      </c>
      <c r="H94" s="32"/>
      <c r="I94" s="31"/>
    </row>
    <row r="95" spans="1:9" ht="12.75" x14ac:dyDescent="0.2">
      <c r="A95" s="31"/>
      <c r="B95" s="31"/>
      <c r="C95" s="32"/>
      <c r="D95" s="124"/>
      <c r="E95" s="124">
        <f t="shared" si="0"/>
        <v>0</v>
      </c>
      <c r="F95" s="151"/>
      <c r="G95" s="124">
        <f t="shared" si="1"/>
        <v>0</v>
      </c>
      <c r="H95" s="32"/>
      <c r="I95" s="31"/>
    </row>
    <row r="96" spans="1:9" ht="12.75" x14ac:dyDescent="0.2">
      <c r="A96" s="31"/>
      <c r="B96" s="31"/>
      <c r="C96" s="32"/>
      <c r="D96" s="124"/>
      <c r="E96" s="124">
        <f t="shared" si="0"/>
        <v>0</v>
      </c>
      <c r="F96" s="151"/>
      <c r="G96" s="124">
        <f t="shared" si="1"/>
        <v>0</v>
      </c>
      <c r="H96" s="32"/>
      <c r="I96" s="31"/>
    </row>
    <row r="97" spans="1:9" ht="12.75" x14ac:dyDescent="0.2">
      <c r="A97" s="31"/>
      <c r="B97" s="31"/>
      <c r="C97" s="32"/>
      <c r="D97" s="124"/>
      <c r="E97" s="124">
        <f t="shared" si="0"/>
        <v>0</v>
      </c>
      <c r="F97" s="151"/>
      <c r="G97" s="124">
        <f t="shared" si="1"/>
        <v>0</v>
      </c>
      <c r="H97" s="32"/>
      <c r="I97" s="31"/>
    </row>
    <row r="98" spans="1:9" ht="12.75" x14ac:dyDescent="0.2">
      <c r="A98" s="31"/>
      <c r="B98" s="31"/>
      <c r="C98" s="32"/>
      <c r="D98" s="124"/>
      <c r="E98" s="124">
        <f t="shared" si="0"/>
        <v>0</v>
      </c>
      <c r="F98" s="151"/>
      <c r="G98" s="124">
        <f t="shared" si="1"/>
        <v>0</v>
      </c>
      <c r="H98" s="32"/>
      <c r="I98" s="31"/>
    </row>
    <row r="99" spans="1:9" ht="12.75" x14ac:dyDescent="0.2">
      <c r="A99" s="31"/>
      <c r="B99" s="31"/>
      <c r="C99" s="32"/>
      <c r="D99" s="124"/>
      <c r="E99" s="124">
        <f t="shared" si="0"/>
        <v>0</v>
      </c>
      <c r="F99" s="151"/>
      <c r="G99" s="124">
        <f t="shared" si="1"/>
        <v>0</v>
      </c>
      <c r="H99" s="32"/>
      <c r="I99" s="31"/>
    </row>
    <row r="100" spans="1:9" ht="12.75" x14ac:dyDescent="0.2">
      <c r="A100" s="31"/>
      <c r="B100" s="31"/>
      <c r="C100" s="32"/>
      <c r="D100" s="124"/>
      <c r="E100" s="124">
        <f t="shared" si="0"/>
        <v>0</v>
      </c>
      <c r="F100" s="151"/>
      <c r="G100" s="124">
        <f t="shared" si="1"/>
        <v>0</v>
      </c>
      <c r="H100" s="32"/>
      <c r="I100" s="31"/>
    </row>
    <row r="101" spans="1:9" ht="12.75" x14ac:dyDescent="0.2">
      <c r="A101" s="31"/>
      <c r="B101" s="31"/>
      <c r="C101" s="32"/>
      <c r="D101" s="124"/>
      <c r="E101" s="124">
        <f t="shared" si="0"/>
        <v>0</v>
      </c>
      <c r="F101" s="151"/>
      <c r="G101" s="124">
        <f t="shared" si="1"/>
        <v>0</v>
      </c>
      <c r="H101" s="32"/>
      <c r="I101" s="31"/>
    </row>
    <row r="102" spans="1:9" ht="12.75" x14ac:dyDescent="0.2">
      <c r="A102" s="31"/>
      <c r="B102" s="31"/>
      <c r="C102" s="32"/>
      <c r="D102" s="124"/>
      <c r="E102" s="124">
        <f t="shared" si="0"/>
        <v>0</v>
      </c>
      <c r="F102" s="151"/>
      <c r="G102" s="124">
        <f t="shared" si="1"/>
        <v>0</v>
      </c>
      <c r="H102" s="32"/>
      <c r="I102" s="31"/>
    </row>
    <row r="103" spans="1:9" ht="12.75" x14ac:dyDescent="0.2">
      <c r="A103" s="31"/>
      <c r="B103" s="31"/>
      <c r="C103" s="32"/>
      <c r="D103" s="124"/>
      <c r="E103" s="124">
        <f t="shared" si="0"/>
        <v>0</v>
      </c>
      <c r="F103" s="151"/>
      <c r="G103" s="124">
        <f t="shared" si="1"/>
        <v>0</v>
      </c>
      <c r="H103" s="32"/>
      <c r="I103" s="31"/>
    </row>
    <row r="104" spans="1:9" ht="12.75" x14ac:dyDescent="0.2">
      <c r="A104" s="31"/>
      <c r="B104" s="31"/>
      <c r="C104" s="32"/>
      <c r="D104" s="124"/>
      <c r="E104" s="124">
        <f t="shared" si="0"/>
        <v>0</v>
      </c>
      <c r="F104" s="151"/>
      <c r="G104" s="124">
        <f t="shared" si="1"/>
        <v>0</v>
      </c>
      <c r="H104" s="32"/>
      <c r="I104" s="31"/>
    </row>
    <row r="105" spans="1:9" ht="12.75" x14ac:dyDescent="0.2">
      <c r="A105" s="31"/>
      <c r="B105" s="31"/>
      <c r="C105" s="32"/>
      <c r="D105" s="124"/>
      <c r="E105" s="124">
        <f t="shared" si="0"/>
        <v>0</v>
      </c>
      <c r="F105" s="151"/>
      <c r="G105" s="124">
        <f t="shared" si="1"/>
        <v>0</v>
      </c>
      <c r="H105" s="32"/>
      <c r="I105" s="31"/>
    </row>
    <row r="106" spans="1:9" ht="12.75" x14ac:dyDescent="0.2">
      <c r="A106" s="31"/>
      <c r="B106" s="31"/>
      <c r="C106" s="32"/>
      <c r="D106" s="124"/>
      <c r="E106" s="124">
        <f t="shared" si="0"/>
        <v>0</v>
      </c>
      <c r="F106" s="151"/>
      <c r="G106" s="124">
        <f t="shared" si="1"/>
        <v>0</v>
      </c>
      <c r="H106" s="32"/>
      <c r="I106" s="31"/>
    </row>
    <row r="107" spans="1:9" ht="12.75" x14ac:dyDescent="0.2">
      <c r="A107" s="31"/>
      <c r="B107" s="31"/>
      <c r="C107" s="32"/>
      <c r="D107" s="124"/>
      <c r="E107" s="124">
        <f t="shared" si="0"/>
        <v>0</v>
      </c>
      <c r="F107" s="151"/>
      <c r="G107" s="124">
        <f t="shared" si="1"/>
        <v>0</v>
      </c>
      <c r="H107" s="32"/>
      <c r="I107" s="31"/>
    </row>
    <row r="108" spans="1:9" ht="12.75" x14ac:dyDescent="0.2">
      <c r="A108" s="31"/>
      <c r="B108" s="31"/>
      <c r="C108" s="32"/>
      <c r="D108" s="124"/>
      <c r="E108" s="124">
        <f t="shared" si="0"/>
        <v>0</v>
      </c>
      <c r="F108" s="151"/>
      <c r="G108" s="124">
        <f t="shared" si="1"/>
        <v>0</v>
      </c>
      <c r="H108" s="32"/>
      <c r="I108" s="31"/>
    </row>
    <row r="109" spans="1:9" ht="12.75" x14ac:dyDescent="0.2">
      <c r="A109" s="31"/>
      <c r="B109" s="31"/>
      <c r="C109" s="32"/>
      <c r="D109" s="124"/>
      <c r="E109" s="124">
        <f t="shared" si="0"/>
        <v>0</v>
      </c>
      <c r="F109" s="151"/>
      <c r="G109" s="124">
        <f t="shared" si="1"/>
        <v>0</v>
      </c>
      <c r="H109" s="32"/>
      <c r="I109" s="31"/>
    </row>
    <row r="110" spans="1:9" ht="12.75" x14ac:dyDescent="0.2">
      <c r="A110" s="31"/>
      <c r="B110" s="31"/>
      <c r="C110" s="32"/>
      <c r="D110" s="124"/>
      <c r="E110" s="124">
        <f t="shared" si="0"/>
        <v>0</v>
      </c>
      <c r="F110" s="151"/>
      <c r="G110" s="124">
        <f t="shared" si="1"/>
        <v>0</v>
      </c>
      <c r="H110" s="32"/>
      <c r="I110" s="31"/>
    </row>
    <row r="111" spans="1:9" ht="12.75" x14ac:dyDescent="0.2">
      <c r="A111" s="31"/>
      <c r="B111" s="31"/>
      <c r="C111" s="32"/>
      <c r="D111" s="124"/>
      <c r="E111" s="124">
        <f t="shared" si="0"/>
        <v>0</v>
      </c>
      <c r="F111" s="151"/>
      <c r="G111" s="124">
        <f t="shared" si="1"/>
        <v>0</v>
      </c>
      <c r="H111" s="32"/>
      <c r="I111" s="31"/>
    </row>
    <row r="112" spans="1:9" ht="12.75" x14ac:dyDescent="0.2">
      <c r="A112" s="31"/>
      <c r="B112" s="31"/>
      <c r="C112" s="32"/>
      <c r="D112" s="124"/>
      <c r="E112" s="124">
        <f t="shared" si="0"/>
        <v>0</v>
      </c>
      <c r="F112" s="151"/>
      <c r="G112" s="124">
        <f t="shared" si="1"/>
        <v>0</v>
      </c>
      <c r="H112" s="32"/>
      <c r="I112" s="31"/>
    </row>
    <row r="113" spans="1:9" ht="12.75" x14ac:dyDescent="0.2">
      <c r="A113" s="31"/>
      <c r="B113" s="31"/>
      <c r="C113" s="32"/>
      <c r="D113" s="124"/>
      <c r="E113" s="124">
        <f t="shared" si="0"/>
        <v>0</v>
      </c>
      <c r="F113" s="151"/>
      <c r="G113" s="124">
        <f t="shared" si="1"/>
        <v>0</v>
      </c>
      <c r="H113" s="32"/>
      <c r="I113" s="31"/>
    </row>
    <row r="114" spans="1:9" ht="12.75" x14ac:dyDescent="0.2">
      <c r="A114" s="31"/>
      <c r="B114" s="31"/>
      <c r="C114" s="32"/>
      <c r="D114" s="124"/>
      <c r="E114" s="124">
        <f t="shared" si="0"/>
        <v>0</v>
      </c>
      <c r="F114" s="151"/>
      <c r="G114" s="124">
        <f t="shared" si="1"/>
        <v>0</v>
      </c>
      <c r="H114" s="32"/>
      <c r="I114" s="31"/>
    </row>
    <row r="115" spans="1:9" ht="12.75" x14ac:dyDescent="0.2">
      <c r="A115" s="31"/>
      <c r="B115" s="31"/>
      <c r="C115" s="32"/>
      <c r="D115" s="124"/>
      <c r="E115" s="124">
        <f t="shared" si="0"/>
        <v>0</v>
      </c>
      <c r="F115" s="151"/>
      <c r="G115" s="124">
        <f t="shared" si="1"/>
        <v>0</v>
      </c>
      <c r="H115" s="32"/>
      <c r="I115" s="31"/>
    </row>
    <row r="116" spans="1:9" ht="12.75" x14ac:dyDescent="0.2">
      <c r="A116" s="31"/>
      <c r="B116" s="31"/>
      <c r="C116" s="32"/>
      <c r="D116" s="124"/>
      <c r="E116" s="124">
        <f t="shared" si="0"/>
        <v>0</v>
      </c>
      <c r="F116" s="151"/>
      <c r="G116" s="124">
        <f t="shared" si="1"/>
        <v>0</v>
      </c>
      <c r="H116" s="32"/>
      <c r="I116" s="31"/>
    </row>
    <row r="117" spans="1:9" ht="12.75" x14ac:dyDescent="0.2">
      <c r="A117" s="31"/>
      <c r="B117" s="31"/>
      <c r="C117" s="32"/>
      <c r="D117" s="124"/>
      <c r="E117" s="124">
        <f t="shared" si="0"/>
        <v>0</v>
      </c>
      <c r="F117" s="151"/>
      <c r="G117" s="124">
        <f t="shared" si="1"/>
        <v>0</v>
      </c>
      <c r="H117" s="32"/>
      <c r="I117" s="31"/>
    </row>
    <row r="118" spans="1:9" ht="12.75" x14ac:dyDescent="0.2">
      <c r="A118" s="31"/>
      <c r="B118" s="31"/>
      <c r="C118" s="32"/>
      <c r="D118" s="124"/>
      <c r="E118" s="124">
        <f t="shared" si="0"/>
        <v>0</v>
      </c>
      <c r="F118" s="151"/>
      <c r="G118" s="124">
        <f t="shared" si="1"/>
        <v>0</v>
      </c>
      <c r="H118" s="32"/>
      <c r="I118" s="31"/>
    </row>
    <row r="119" spans="1:9" ht="12.75" x14ac:dyDescent="0.2">
      <c r="A119" s="31"/>
      <c r="B119" s="31"/>
      <c r="C119" s="32"/>
      <c r="D119" s="124"/>
      <c r="E119" s="124">
        <f t="shared" si="0"/>
        <v>0</v>
      </c>
      <c r="F119" s="151"/>
      <c r="G119" s="124">
        <f t="shared" si="1"/>
        <v>0</v>
      </c>
      <c r="H119" s="32"/>
      <c r="I119" s="31"/>
    </row>
    <row r="120" spans="1:9" ht="12.75" x14ac:dyDescent="0.2">
      <c r="A120" s="31"/>
      <c r="B120" s="31"/>
      <c r="C120" s="32"/>
      <c r="D120" s="124"/>
      <c r="E120" s="124">
        <f t="shared" si="0"/>
        <v>0</v>
      </c>
      <c r="F120" s="151"/>
      <c r="G120" s="124">
        <f t="shared" si="1"/>
        <v>0</v>
      </c>
      <c r="H120" s="32"/>
      <c r="I120" s="31"/>
    </row>
    <row r="121" spans="1:9" ht="12.75" x14ac:dyDescent="0.2">
      <c r="A121" s="31"/>
      <c r="B121" s="31"/>
      <c r="C121" s="32"/>
      <c r="D121" s="124"/>
      <c r="E121" s="124">
        <f t="shared" si="0"/>
        <v>0</v>
      </c>
      <c r="F121" s="151"/>
      <c r="G121" s="124">
        <f t="shared" si="1"/>
        <v>0</v>
      </c>
      <c r="H121" s="32"/>
      <c r="I121" s="31"/>
    </row>
    <row r="122" spans="1:9" ht="12.75" x14ac:dyDescent="0.2">
      <c r="A122" s="31"/>
      <c r="B122" s="31"/>
      <c r="C122" s="32"/>
      <c r="D122" s="124"/>
      <c r="E122" s="124">
        <f t="shared" si="0"/>
        <v>0</v>
      </c>
      <c r="F122" s="151"/>
      <c r="G122" s="124">
        <f t="shared" si="1"/>
        <v>0</v>
      </c>
      <c r="H122" s="32"/>
      <c r="I122" s="31"/>
    </row>
    <row r="123" spans="1:9" ht="12.75" x14ac:dyDescent="0.2">
      <c r="A123" s="31"/>
      <c r="B123" s="31"/>
      <c r="C123" s="32"/>
      <c r="D123" s="124"/>
      <c r="E123" s="124">
        <f t="shared" si="0"/>
        <v>0</v>
      </c>
      <c r="F123" s="151"/>
      <c r="G123" s="124">
        <f t="shared" si="1"/>
        <v>0</v>
      </c>
      <c r="H123" s="32"/>
      <c r="I123" s="31"/>
    </row>
    <row r="124" spans="1:9" ht="12.75" x14ac:dyDescent="0.2">
      <c r="A124" s="31"/>
      <c r="B124" s="31"/>
      <c r="C124" s="32"/>
      <c r="D124" s="124"/>
      <c r="E124" s="124">
        <f t="shared" si="0"/>
        <v>0</v>
      </c>
      <c r="F124" s="151"/>
      <c r="G124" s="124">
        <f t="shared" si="1"/>
        <v>0</v>
      </c>
      <c r="H124" s="32"/>
      <c r="I124" s="31"/>
    </row>
    <row r="125" spans="1:9" ht="12.75" x14ac:dyDescent="0.2">
      <c r="A125" s="31"/>
      <c r="B125" s="31"/>
      <c r="C125" s="32"/>
      <c r="D125" s="124"/>
      <c r="E125" s="124">
        <f t="shared" si="0"/>
        <v>0</v>
      </c>
      <c r="F125" s="151"/>
      <c r="G125" s="124">
        <f t="shared" si="1"/>
        <v>0</v>
      </c>
      <c r="H125" s="32"/>
      <c r="I125" s="31"/>
    </row>
    <row r="126" spans="1:9" ht="12.75" x14ac:dyDescent="0.2">
      <c r="A126" s="31"/>
      <c r="B126" s="31"/>
      <c r="C126" s="32"/>
      <c r="D126" s="124"/>
      <c r="E126" s="124">
        <f t="shared" si="0"/>
        <v>0</v>
      </c>
      <c r="F126" s="151"/>
      <c r="G126" s="124">
        <f t="shared" si="1"/>
        <v>0</v>
      </c>
      <c r="H126" s="32"/>
      <c r="I126" s="31"/>
    </row>
    <row r="127" spans="1:9" ht="12.75" x14ac:dyDescent="0.2">
      <c r="A127" s="31"/>
      <c r="B127" s="31"/>
      <c r="C127" s="32"/>
      <c r="D127" s="124"/>
      <c r="E127" s="124">
        <f t="shared" si="0"/>
        <v>0</v>
      </c>
      <c r="F127" s="151"/>
      <c r="G127" s="124">
        <f t="shared" si="1"/>
        <v>0</v>
      </c>
      <c r="H127" s="32"/>
      <c r="I127" s="31"/>
    </row>
    <row r="128" spans="1:9" ht="12.75" x14ac:dyDescent="0.2">
      <c r="A128" s="31"/>
      <c r="B128" s="31"/>
      <c r="C128" s="32"/>
      <c r="D128" s="124"/>
      <c r="E128" s="124">
        <f t="shared" si="0"/>
        <v>0</v>
      </c>
      <c r="F128" s="151"/>
      <c r="G128" s="124">
        <f t="shared" si="1"/>
        <v>0</v>
      </c>
      <c r="H128" s="32"/>
      <c r="I128" s="31"/>
    </row>
    <row r="129" spans="1:9" ht="12.75" x14ac:dyDescent="0.2">
      <c r="A129" s="31"/>
      <c r="B129" s="31"/>
      <c r="C129" s="32"/>
      <c r="D129" s="124"/>
      <c r="E129" s="124">
        <f t="shared" si="0"/>
        <v>0</v>
      </c>
      <c r="F129" s="151"/>
      <c r="G129" s="124">
        <f t="shared" si="1"/>
        <v>0</v>
      </c>
      <c r="H129" s="32"/>
      <c r="I129" s="31"/>
    </row>
    <row r="130" spans="1:9" ht="12.75" x14ac:dyDescent="0.2">
      <c r="A130" s="31"/>
      <c r="B130" s="31"/>
      <c r="C130" s="32"/>
      <c r="D130" s="124"/>
      <c r="E130" s="124">
        <f t="shared" si="0"/>
        <v>0</v>
      </c>
      <c r="F130" s="151"/>
      <c r="G130" s="124">
        <f t="shared" si="1"/>
        <v>0</v>
      </c>
      <c r="H130" s="32"/>
      <c r="I130" s="31"/>
    </row>
    <row r="131" spans="1:9" ht="12.75" x14ac:dyDescent="0.2">
      <c r="A131" s="31"/>
      <c r="B131" s="31"/>
      <c r="C131" s="32"/>
      <c r="D131" s="124"/>
      <c r="E131" s="124">
        <f t="shared" si="0"/>
        <v>0</v>
      </c>
      <c r="F131" s="151"/>
      <c r="G131" s="124">
        <f t="shared" si="1"/>
        <v>0</v>
      </c>
      <c r="H131" s="32"/>
      <c r="I131" s="31"/>
    </row>
    <row r="132" spans="1:9" ht="12.75" x14ac:dyDescent="0.2">
      <c r="A132" s="31"/>
      <c r="B132" s="31"/>
      <c r="C132" s="32"/>
      <c r="D132" s="124"/>
      <c r="E132" s="124">
        <f t="shared" si="0"/>
        <v>0</v>
      </c>
      <c r="F132" s="151"/>
      <c r="G132" s="124">
        <f t="shared" si="1"/>
        <v>0</v>
      </c>
      <c r="H132" s="32"/>
      <c r="I132" s="31"/>
    </row>
    <row r="133" spans="1:9" ht="12.75" x14ac:dyDescent="0.2">
      <c r="A133" s="270" t="s">
        <v>44</v>
      </c>
      <c r="B133" s="268"/>
      <c r="C133" s="269"/>
      <c r="D133" s="156">
        <f t="shared" ref="D133:E133" si="2">SUM(D3:D132)</f>
        <v>255575.80000000002</v>
      </c>
      <c r="E133" s="156">
        <f t="shared" si="2"/>
        <v>21842.523766233768</v>
      </c>
      <c r="F133" s="157"/>
      <c r="G133" s="156">
        <f>SUM(G3:G132)</f>
        <v>37150.562337662341</v>
      </c>
      <c r="H133" s="39"/>
      <c r="I133" s="40"/>
    </row>
    <row r="134" spans="1:9" ht="12.75" x14ac:dyDescent="0.2">
      <c r="A134" s="41"/>
      <c r="B134" s="41"/>
      <c r="C134" s="41"/>
      <c r="D134" s="158"/>
      <c r="E134" s="159"/>
      <c r="F134" s="160"/>
      <c r="G134" s="159"/>
      <c r="H134" s="39"/>
      <c r="I134" s="40"/>
    </row>
  </sheetData>
  <autoFilter ref="A2:I132" xr:uid="{00000000-0009-0000-0000-000003000000}"/>
  <mergeCells count="2">
    <mergeCell ref="A133:C133"/>
    <mergeCell ref="A1:I1"/>
  </mergeCells>
  <conditionalFormatting sqref="A1:A134">
    <cfRule type="expression" dxfId="5" priority="1">
      <formula>MATCH(INDIRECT(ADDRESS(ROW(),COLUMN())),INDIRECT("METAS!B:B"),0)&gt;0</formula>
    </cfRule>
  </conditionalFormatting>
  <dataValidations count="2">
    <dataValidation type="list" allowBlank="1" sqref="B3:B132" xr:uid="{00000000-0002-0000-0300-000000000000}">
      <formula1>"URV,RECLASSIFICAÇÃO"</formula1>
    </dataValidation>
    <dataValidation type="list" allowBlank="1" sqref="H3:H132" xr:uid="{00000000-0002-0000-0300-000001000000}">
      <formula1>"ALVARÁS EXPEDIDOS,ALVARÁS RECEBIDOS,EXPEDIR ALVARÁS,REQUERER SEQUESTRO,AGUARDAR PRAZO RPV,AGUARDAR RETORNO DA CONTADORIA,EXPEDIR RPVS,ALVARÁ PARA CORRIGIR,VERIFICAR SE TODOS OS ALVARÁS FORAM RECEBIDOS,PARA IMPLANTAR,PAGO,ENVIAR PARA CONTADORIA,NA CONTADOR"&amp;"IA"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17"/>
  <sheetViews>
    <sheetView workbookViewId="0">
      <pane ySplit="2" topLeftCell="A815" activePane="bottomLeft" state="frozen"/>
      <selection pane="bottomLeft" activeCell="A3" sqref="A3:A851"/>
    </sheetView>
  </sheetViews>
  <sheetFormatPr defaultColWidth="14.42578125" defaultRowHeight="15.75" customHeight="1" x14ac:dyDescent="0.2"/>
  <cols>
    <col min="1" max="1" width="8.85546875" customWidth="1"/>
    <col min="2" max="2" width="16.140625" customWidth="1"/>
    <col min="3" max="3" width="46.85546875" customWidth="1"/>
    <col min="4" max="4" width="14.7109375" customWidth="1"/>
    <col min="5" max="5" width="11.5703125" customWidth="1"/>
    <col min="6" max="6" width="8" customWidth="1"/>
    <col min="7" max="7" width="10.42578125" customWidth="1"/>
    <col min="8" max="8" width="55.42578125" customWidth="1"/>
    <col min="9" max="9" width="7.85546875" customWidth="1"/>
  </cols>
  <sheetData>
    <row r="1" spans="1:9" ht="15.75" customHeight="1" x14ac:dyDescent="0.2">
      <c r="A1" s="267" t="s">
        <v>46</v>
      </c>
      <c r="B1" s="268"/>
      <c r="C1" s="268"/>
      <c r="D1" s="268"/>
      <c r="E1" s="268"/>
      <c r="F1" s="268"/>
      <c r="G1" s="268"/>
      <c r="H1" s="268"/>
      <c r="I1" s="269"/>
    </row>
    <row r="2" spans="1:9" ht="15.75" customHeight="1" x14ac:dyDescent="0.2">
      <c r="A2" s="1" t="s">
        <v>2</v>
      </c>
      <c r="B2" s="2" t="s">
        <v>3</v>
      </c>
      <c r="C2" s="1" t="s">
        <v>5</v>
      </c>
      <c r="D2" s="1" t="s">
        <v>6</v>
      </c>
      <c r="E2" s="3" t="s">
        <v>7</v>
      </c>
      <c r="F2" s="2" t="s">
        <v>8</v>
      </c>
      <c r="G2" s="3" t="s">
        <v>10</v>
      </c>
      <c r="H2" s="2" t="s">
        <v>4</v>
      </c>
      <c r="I2" s="1" t="s">
        <v>12</v>
      </c>
    </row>
    <row r="3" spans="1:9" ht="15.75" customHeight="1" x14ac:dyDescent="0.2">
      <c r="A3" s="44">
        <v>120512005</v>
      </c>
      <c r="B3" s="13" t="s">
        <v>14</v>
      </c>
      <c r="C3" s="14" t="s">
        <v>48</v>
      </c>
      <c r="D3" s="15">
        <v>4051.26</v>
      </c>
      <c r="E3" s="46">
        <f t="shared" ref="E3:E915" si="0">IF(F3=0,D3*0.1,IF(OR(B3="Descompressão",B3="MS 207002004"),(D3-G3)*0.05,(D3-G3)*0.1))</f>
        <v>368.29636363636365</v>
      </c>
      <c r="F3" s="17">
        <v>0.1</v>
      </c>
      <c r="G3" s="48">
        <f t="shared" ref="G3:G915" si="1">IF(F3=100%,D3,IF(F3=0,0,(D3-(D3/(1+F3)))))</f>
        <v>368.29636363636382</v>
      </c>
      <c r="H3" s="14" t="s">
        <v>52</v>
      </c>
      <c r="I3" s="49" t="s">
        <v>51</v>
      </c>
    </row>
    <row r="4" spans="1:9" ht="15.75" customHeight="1" x14ac:dyDescent="0.2">
      <c r="A4" s="51">
        <v>120512005</v>
      </c>
      <c r="B4" s="31" t="s">
        <v>14</v>
      </c>
      <c r="C4" s="53" t="s">
        <v>54</v>
      </c>
      <c r="D4" s="54">
        <v>377.83</v>
      </c>
      <c r="E4" s="56">
        <f t="shared" si="0"/>
        <v>34.348181818181814</v>
      </c>
      <c r="F4" s="57">
        <v>0.1</v>
      </c>
      <c r="G4" s="64">
        <f t="shared" si="1"/>
        <v>34.348181818181843</v>
      </c>
      <c r="H4" s="53" t="s">
        <v>52</v>
      </c>
      <c r="I4" s="66" t="s">
        <v>51</v>
      </c>
    </row>
    <row r="5" spans="1:9" ht="15.75" customHeight="1" x14ac:dyDescent="0.2">
      <c r="A5" s="51">
        <v>120512005</v>
      </c>
      <c r="B5" s="31" t="s">
        <v>14</v>
      </c>
      <c r="C5" s="53" t="s">
        <v>57</v>
      </c>
      <c r="D5" s="54">
        <v>4322.6499999999996</v>
      </c>
      <c r="E5" s="56">
        <f t="shared" si="0"/>
        <v>392.96818181818179</v>
      </c>
      <c r="F5" s="57">
        <v>0.1</v>
      </c>
      <c r="G5" s="64">
        <f t="shared" si="1"/>
        <v>392.96818181818207</v>
      </c>
      <c r="H5" s="53" t="s">
        <v>52</v>
      </c>
      <c r="I5" s="66" t="s">
        <v>51</v>
      </c>
    </row>
    <row r="6" spans="1:9" ht="15.75" customHeight="1" x14ac:dyDescent="0.2">
      <c r="A6" s="51">
        <v>120512005</v>
      </c>
      <c r="B6" s="31" t="s">
        <v>14</v>
      </c>
      <c r="C6" s="53" t="s">
        <v>58</v>
      </c>
      <c r="D6" s="54">
        <v>447.17</v>
      </c>
      <c r="E6" s="56">
        <f t="shared" si="0"/>
        <v>40.651818181818186</v>
      </c>
      <c r="F6" s="57">
        <v>0.1</v>
      </c>
      <c r="G6" s="64">
        <f t="shared" si="1"/>
        <v>40.651818181818214</v>
      </c>
      <c r="H6" s="53" t="s">
        <v>52</v>
      </c>
      <c r="I6" s="66" t="s">
        <v>51</v>
      </c>
    </row>
    <row r="7" spans="1:9" ht="15.75" customHeight="1" x14ac:dyDescent="0.2">
      <c r="A7" s="51">
        <v>120512005</v>
      </c>
      <c r="B7" s="31" t="s">
        <v>14</v>
      </c>
      <c r="C7" s="53" t="s">
        <v>59</v>
      </c>
      <c r="D7" s="54">
        <v>5192.18</v>
      </c>
      <c r="E7" s="56">
        <f t="shared" si="0"/>
        <v>472.01636363636362</v>
      </c>
      <c r="F7" s="57">
        <v>0.1</v>
      </c>
      <c r="G7" s="64">
        <f t="shared" si="1"/>
        <v>472.01636363636408</v>
      </c>
      <c r="H7" s="53" t="s">
        <v>52</v>
      </c>
      <c r="I7" s="66" t="s">
        <v>51</v>
      </c>
    </row>
    <row r="8" spans="1:9" ht="15.75" customHeight="1" x14ac:dyDescent="0.2">
      <c r="A8" s="51">
        <v>120512005</v>
      </c>
      <c r="B8" s="31" t="s">
        <v>14</v>
      </c>
      <c r="C8" s="53" t="s">
        <v>61</v>
      </c>
      <c r="D8" s="54">
        <v>3907.22</v>
      </c>
      <c r="E8" s="56">
        <f t="shared" si="0"/>
        <v>355.20181818181817</v>
      </c>
      <c r="F8" s="57">
        <v>0.1</v>
      </c>
      <c r="G8" s="64">
        <f t="shared" si="1"/>
        <v>355.20181818181845</v>
      </c>
      <c r="H8" s="53" t="s">
        <v>52</v>
      </c>
      <c r="I8" s="66" t="s">
        <v>51</v>
      </c>
    </row>
    <row r="9" spans="1:9" ht="15.75" customHeight="1" x14ac:dyDescent="0.2">
      <c r="A9" s="51">
        <v>120512005</v>
      </c>
      <c r="B9" s="31" t="s">
        <v>14</v>
      </c>
      <c r="C9" s="53" t="s">
        <v>62</v>
      </c>
      <c r="D9" s="54">
        <v>307.76</v>
      </c>
      <c r="E9" s="56">
        <f t="shared" si="0"/>
        <v>27.978181818181817</v>
      </c>
      <c r="F9" s="57">
        <v>0.1</v>
      </c>
      <c r="G9" s="64">
        <f t="shared" si="1"/>
        <v>27.978181818181838</v>
      </c>
      <c r="H9" s="53" t="s">
        <v>52</v>
      </c>
      <c r="I9" s="66" t="s">
        <v>51</v>
      </c>
    </row>
    <row r="10" spans="1:9" ht="15.75" customHeight="1" x14ac:dyDescent="0.2">
      <c r="A10" s="75">
        <v>120512005</v>
      </c>
      <c r="B10" s="77" t="s">
        <v>14</v>
      </c>
      <c r="C10" s="79" t="s">
        <v>64</v>
      </c>
      <c r="D10" s="84">
        <v>2891.34</v>
      </c>
      <c r="E10" s="86">
        <f t="shared" si="0"/>
        <v>262.84909090909093</v>
      </c>
      <c r="F10" s="93">
        <v>0.1</v>
      </c>
      <c r="G10" s="96">
        <f t="shared" si="1"/>
        <v>262.84909090909105</v>
      </c>
      <c r="H10" s="79" t="s">
        <v>52</v>
      </c>
      <c r="I10" s="98" t="s">
        <v>51</v>
      </c>
    </row>
    <row r="11" spans="1:9" ht="15.75" customHeight="1" x14ac:dyDescent="0.2">
      <c r="A11" s="44">
        <v>33532005</v>
      </c>
      <c r="B11" s="13" t="s">
        <v>14</v>
      </c>
      <c r="C11" s="14" t="s">
        <v>75</v>
      </c>
      <c r="D11" s="100"/>
      <c r="E11" s="46">
        <f t="shared" si="0"/>
        <v>0</v>
      </c>
      <c r="F11" s="17">
        <v>0.1</v>
      </c>
      <c r="G11" s="46">
        <f t="shared" si="1"/>
        <v>0</v>
      </c>
      <c r="H11" s="14" t="s">
        <v>50</v>
      </c>
      <c r="I11" s="49" t="s">
        <v>51</v>
      </c>
    </row>
    <row r="12" spans="1:9" ht="15.75" customHeight="1" x14ac:dyDescent="0.2">
      <c r="A12" s="109">
        <v>33532005</v>
      </c>
      <c r="B12" s="26" t="s">
        <v>14</v>
      </c>
      <c r="C12" s="82" t="s">
        <v>81</v>
      </c>
      <c r="D12" s="28"/>
      <c r="E12" s="88">
        <f t="shared" si="0"/>
        <v>0</v>
      </c>
      <c r="F12" s="90">
        <v>0.1</v>
      </c>
      <c r="G12" s="88">
        <f t="shared" si="1"/>
        <v>0</v>
      </c>
      <c r="H12" s="82" t="s">
        <v>50</v>
      </c>
      <c r="I12" s="112" t="s">
        <v>51</v>
      </c>
    </row>
    <row r="13" spans="1:9" ht="15.75" customHeight="1" x14ac:dyDescent="0.2">
      <c r="A13" s="109">
        <v>33532005</v>
      </c>
      <c r="B13" s="26" t="s">
        <v>14</v>
      </c>
      <c r="C13" s="82" t="s">
        <v>83</v>
      </c>
      <c r="D13" s="28"/>
      <c r="E13" s="88">
        <f t="shared" si="0"/>
        <v>0</v>
      </c>
      <c r="F13" s="90">
        <v>0.1</v>
      </c>
      <c r="G13" s="88">
        <f t="shared" si="1"/>
        <v>0</v>
      </c>
      <c r="H13" s="82" t="s">
        <v>50</v>
      </c>
      <c r="I13" s="112" t="s">
        <v>51</v>
      </c>
    </row>
    <row r="14" spans="1:9" ht="15.75" customHeight="1" x14ac:dyDescent="0.2">
      <c r="A14" s="109">
        <v>33532005</v>
      </c>
      <c r="B14" s="26" t="s">
        <v>14</v>
      </c>
      <c r="C14" s="82" t="s">
        <v>84</v>
      </c>
      <c r="D14" s="28"/>
      <c r="E14" s="88">
        <f t="shared" si="0"/>
        <v>0</v>
      </c>
      <c r="F14" s="90">
        <v>0.1</v>
      </c>
      <c r="G14" s="88">
        <f t="shared" si="1"/>
        <v>0</v>
      </c>
      <c r="H14" s="82" t="s">
        <v>50</v>
      </c>
      <c r="I14" s="112" t="s">
        <v>51</v>
      </c>
    </row>
    <row r="15" spans="1:9" ht="15.75" customHeight="1" x14ac:dyDescent="0.2">
      <c r="A15" s="109">
        <v>33532005</v>
      </c>
      <c r="B15" s="26" t="s">
        <v>14</v>
      </c>
      <c r="C15" s="82" t="s">
        <v>86</v>
      </c>
      <c r="D15" s="28"/>
      <c r="E15" s="88">
        <f t="shared" si="0"/>
        <v>0</v>
      </c>
      <c r="F15" s="90">
        <v>0.1</v>
      </c>
      <c r="G15" s="88">
        <f t="shared" si="1"/>
        <v>0</v>
      </c>
      <c r="H15" s="82" t="s">
        <v>50</v>
      </c>
      <c r="I15" s="112" t="s">
        <v>51</v>
      </c>
    </row>
    <row r="16" spans="1:9" ht="15.75" customHeight="1" x14ac:dyDescent="0.2">
      <c r="A16" s="116">
        <v>33532005</v>
      </c>
      <c r="B16" s="118" t="s">
        <v>14</v>
      </c>
      <c r="C16" s="21" t="s">
        <v>87</v>
      </c>
      <c r="D16" s="101"/>
      <c r="E16" s="103">
        <f t="shared" si="0"/>
        <v>0</v>
      </c>
      <c r="F16" s="24">
        <v>0.1</v>
      </c>
      <c r="G16" s="103">
        <f t="shared" si="1"/>
        <v>0</v>
      </c>
      <c r="H16" s="21" t="s">
        <v>50</v>
      </c>
      <c r="I16" s="120" t="s">
        <v>51</v>
      </c>
    </row>
    <row r="17" spans="1:9" ht="15.75" customHeight="1" x14ac:dyDescent="0.2">
      <c r="A17" s="44">
        <v>226022007</v>
      </c>
      <c r="B17" s="13" t="s">
        <v>14</v>
      </c>
      <c r="C17" s="14" t="s">
        <v>89</v>
      </c>
      <c r="D17" s="100"/>
      <c r="E17" s="46">
        <f t="shared" si="0"/>
        <v>0</v>
      </c>
      <c r="F17" s="17">
        <v>0.1</v>
      </c>
      <c r="G17" s="46">
        <f t="shared" si="1"/>
        <v>0</v>
      </c>
      <c r="H17" s="14" t="s">
        <v>37</v>
      </c>
      <c r="I17" s="49" t="s">
        <v>51</v>
      </c>
    </row>
    <row r="18" spans="1:9" ht="15.75" customHeight="1" x14ac:dyDescent="0.2">
      <c r="A18" s="109">
        <v>226022007</v>
      </c>
      <c r="B18" s="26" t="s">
        <v>14</v>
      </c>
      <c r="C18" s="82" t="s">
        <v>90</v>
      </c>
      <c r="D18" s="28"/>
      <c r="E18" s="88">
        <f t="shared" si="0"/>
        <v>0</v>
      </c>
      <c r="F18" s="90">
        <v>0.1</v>
      </c>
      <c r="G18" s="88">
        <f t="shared" si="1"/>
        <v>0</v>
      </c>
      <c r="H18" s="82" t="s">
        <v>37</v>
      </c>
      <c r="I18" s="112" t="s">
        <v>51</v>
      </c>
    </row>
    <row r="19" spans="1:9" ht="15.75" customHeight="1" x14ac:dyDescent="0.2">
      <c r="A19" s="109">
        <v>226022007</v>
      </c>
      <c r="B19" s="26" t="s">
        <v>14</v>
      </c>
      <c r="C19" s="82" t="s">
        <v>92</v>
      </c>
      <c r="D19" s="28"/>
      <c r="E19" s="88">
        <f t="shared" si="0"/>
        <v>0</v>
      </c>
      <c r="F19" s="90">
        <v>0.1</v>
      </c>
      <c r="G19" s="88">
        <f t="shared" si="1"/>
        <v>0</v>
      </c>
      <c r="H19" s="82" t="s">
        <v>37</v>
      </c>
      <c r="I19" s="112" t="s">
        <v>51</v>
      </c>
    </row>
    <row r="20" spans="1:9" ht="15.75" customHeight="1" x14ac:dyDescent="0.2">
      <c r="A20" s="109">
        <v>226022007</v>
      </c>
      <c r="B20" s="26" t="s">
        <v>14</v>
      </c>
      <c r="C20" s="82" t="s">
        <v>93</v>
      </c>
      <c r="D20" s="28"/>
      <c r="E20" s="88">
        <f t="shared" si="0"/>
        <v>0</v>
      </c>
      <c r="F20" s="90">
        <v>0.1</v>
      </c>
      <c r="G20" s="88">
        <f t="shared" si="1"/>
        <v>0</v>
      </c>
      <c r="H20" s="82" t="s">
        <v>37</v>
      </c>
      <c r="I20" s="112" t="s">
        <v>51</v>
      </c>
    </row>
    <row r="21" spans="1:9" ht="15.75" customHeight="1" x14ac:dyDescent="0.2">
      <c r="A21" s="109">
        <v>226022007</v>
      </c>
      <c r="B21" s="26" t="s">
        <v>14</v>
      </c>
      <c r="C21" s="82" t="s">
        <v>94</v>
      </c>
      <c r="D21" s="28"/>
      <c r="E21" s="88">
        <f t="shared" si="0"/>
        <v>0</v>
      </c>
      <c r="F21" s="90">
        <v>0.1</v>
      </c>
      <c r="G21" s="88">
        <f t="shared" si="1"/>
        <v>0</v>
      </c>
      <c r="H21" s="82" t="s">
        <v>37</v>
      </c>
      <c r="I21" s="112" t="s">
        <v>51</v>
      </c>
    </row>
    <row r="22" spans="1:9" ht="15.75" customHeight="1" x14ac:dyDescent="0.2">
      <c r="A22" s="109">
        <v>226022007</v>
      </c>
      <c r="B22" s="26" t="s">
        <v>14</v>
      </c>
      <c r="C22" s="82" t="s">
        <v>96</v>
      </c>
      <c r="D22" s="28"/>
      <c r="E22" s="88">
        <f t="shared" si="0"/>
        <v>0</v>
      </c>
      <c r="F22" s="90">
        <v>0.1</v>
      </c>
      <c r="G22" s="88">
        <f t="shared" si="1"/>
        <v>0</v>
      </c>
      <c r="H22" s="82" t="s">
        <v>37</v>
      </c>
      <c r="I22" s="112" t="s">
        <v>51</v>
      </c>
    </row>
    <row r="23" spans="1:9" ht="15.75" customHeight="1" x14ac:dyDescent="0.2">
      <c r="A23" s="109">
        <v>226022007</v>
      </c>
      <c r="B23" s="26" t="s">
        <v>14</v>
      </c>
      <c r="C23" s="82" t="s">
        <v>97</v>
      </c>
      <c r="D23" s="28"/>
      <c r="E23" s="88">
        <f t="shared" si="0"/>
        <v>0</v>
      </c>
      <c r="F23" s="90">
        <v>0.1</v>
      </c>
      <c r="G23" s="88">
        <f t="shared" si="1"/>
        <v>0</v>
      </c>
      <c r="H23" s="82" t="s">
        <v>37</v>
      </c>
      <c r="I23" s="112" t="s">
        <v>51</v>
      </c>
    </row>
    <row r="24" spans="1:9" ht="15.75" customHeight="1" x14ac:dyDescent="0.2">
      <c r="A24" s="109">
        <v>226022007</v>
      </c>
      <c r="B24" s="26" t="s">
        <v>14</v>
      </c>
      <c r="C24" s="82" t="s">
        <v>98</v>
      </c>
      <c r="D24" s="28"/>
      <c r="E24" s="88">
        <f t="shared" si="0"/>
        <v>0</v>
      </c>
      <c r="F24" s="90">
        <v>0.1</v>
      </c>
      <c r="G24" s="88">
        <f t="shared" si="1"/>
        <v>0</v>
      </c>
      <c r="H24" s="82" t="s">
        <v>37</v>
      </c>
      <c r="I24" s="112" t="s">
        <v>51</v>
      </c>
    </row>
    <row r="25" spans="1:9" ht="15.75" customHeight="1" x14ac:dyDescent="0.2">
      <c r="A25" s="109">
        <v>226022007</v>
      </c>
      <c r="B25" s="26" t="s">
        <v>14</v>
      </c>
      <c r="C25" s="82" t="s">
        <v>100</v>
      </c>
      <c r="D25" s="28"/>
      <c r="E25" s="88">
        <f t="shared" si="0"/>
        <v>0</v>
      </c>
      <c r="F25" s="90">
        <v>0.1</v>
      </c>
      <c r="G25" s="88">
        <f t="shared" si="1"/>
        <v>0</v>
      </c>
      <c r="H25" s="82" t="s">
        <v>37</v>
      </c>
      <c r="I25" s="112" t="s">
        <v>51</v>
      </c>
    </row>
    <row r="26" spans="1:9" ht="15.75" customHeight="1" x14ac:dyDescent="0.2">
      <c r="A26" s="109">
        <v>226022007</v>
      </c>
      <c r="B26" s="26" t="s">
        <v>14</v>
      </c>
      <c r="C26" s="82" t="s">
        <v>103</v>
      </c>
      <c r="D26" s="28"/>
      <c r="E26" s="88">
        <f t="shared" si="0"/>
        <v>0</v>
      </c>
      <c r="F26" s="90">
        <v>0.1</v>
      </c>
      <c r="G26" s="88">
        <f t="shared" si="1"/>
        <v>0</v>
      </c>
      <c r="H26" s="82" t="s">
        <v>37</v>
      </c>
      <c r="I26" s="112" t="s">
        <v>51</v>
      </c>
    </row>
    <row r="27" spans="1:9" ht="15.75" customHeight="1" x14ac:dyDescent="0.2">
      <c r="A27" s="109">
        <v>226022007</v>
      </c>
      <c r="B27" s="26" t="s">
        <v>14</v>
      </c>
      <c r="C27" s="82" t="s">
        <v>106</v>
      </c>
      <c r="D27" s="28"/>
      <c r="E27" s="88">
        <f t="shared" si="0"/>
        <v>0</v>
      </c>
      <c r="F27" s="90">
        <v>0.1</v>
      </c>
      <c r="G27" s="88">
        <f t="shared" si="1"/>
        <v>0</v>
      </c>
      <c r="H27" s="82" t="s">
        <v>37</v>
      </c>
      <c r="I27" s="112" t="s">
        <v>51</v>
      </c>
    </row>
    <row r="28" spans="1:9" ht="15.75" customHeight="1" x14ac:dyDescent="0.2">
      <c r="A28" s="109">
        <v>226022007</v>
      </c>
      <c r="B28" s="26" t="s">
        <v>14</v>
      </c>
      <c r="C28" s="82" t="s">
        <v>109</v>
      </c>
      <c r="D28" s="28"/>
      <c r="E28" s="88">
        <f t="shared" si="0"/>
        <v>0</v>
      </c>
      <c r="F28" s="90">
        <v>0.1</v>
      </c>
      <c r="G28" s="88">
        <f t="shared" si="1"/>
        <v>0</v>
      </c>
      <c r="H28" s="82" t="s">
        <v>37</v>
      </c>
      <c r="I28" s="112" t="s">
        <v>51</v>
      </c>
    </row>
    <row r="29" spans="1:9" ht="15.75" customHeight="1" x14ac:dyDescent="0.2">
      <c r="A29" s="109">
        <v>226022007</v>
      </c>
      <c r="B29" s="26" t="s">
        <v>14</v>
      </c>
      <c r="C29" s="82" t="s">
        <v>110</v>
      </c>
      <c r="D29" s="28"/>
      <c r="E29" s="88">
        <f t="shared" si="0"/>
        <v>0</v>
      </c>
      <c r="F29" s="90">
        <v>0.1</v>
      </c>
      <c r="G29" s="88">
        <f t="shared" si="1"/>
        <v>0</v>
      </c>
      <c r="H29" s="82" t="s">
        <v>37</v>
      </c>
      <c r="I29" s="112" t="s">
        <v>51</v>
      </c>
    </row>
    <row r="30" spans="1:9" ht="15.75" customHeight="1" x14ac:dyDescent="0.2">
      <c r="A30" s="109">
        <v>226022007</v>
      </c>
      <c r="B30" s="26" t="s">
        <v>14</v>
      </c>
      <c r="C30" s="82" t="s">
        <v>113</v>
      </c>
      <c r="D30" s="28"/>
      <c r="E30" s="88">
        <f t="shared" si="0"/>
        <v>0</v>
      </c>
      <c r="F30" s="90">
        <v>0.1</v>
      </c>
      <c r="G30" s="88">
        <f t="shared" si="1"/>
        <v>0</v>
      </c>
      <c r="H30" s="82" t="s">
        <v>37</v>
      </c>
      <c r="I30" s="112" t="s">
        <v>51</v>
      </c>
    </row>
    <row r="31" spans="1:9" ht="15.75" customHeight="1" x14ac:dyDescent="0.2">
      <c r="A31" s="116">
        <v>226022007</v>
      </c>
      <c r="B31" s="118" t="s">
        <v>14</v>
      </c>
      <c r="C31" s="21" t="s">
        <v>115</v>
      </c>
      <c r="D31" s="101"/>
      <c r="E31" s="103">
        <f t="shared" si="0"/>
        <v>0</v>
      </c>
      <c r="F31" s="24">
        <v>0.1</v>
      </c>
      <c r="G31" s="103">
        <f t="shared" si="1"/>
        <v>0</v>
      </c>
      <c r="H31" s="21" t="s">
        <v>37</v>
      </c>
      <c r="I31" s="120" t="s">
        <v>51</v>
      </c>
    </row>
    <row r="32" spans="1:9" ht="15.75" customHeight="1" x14ac:dyDescent="0.2">
      <c r="A32" s="44">
        <v>253262007</v>
      </c>
      <c r="B32" s="13" t="s">
        <v>13</v>
      </c>
      <c r="C32" s="14" t="s">
        <v>117</v>
      </c>
      <c r="D32" s="15">
        <v>8751.89</v>
      </c>
      <c r="E32" s="46">
        <f t="shared" si="0"/>
        <v>795.62636363636352</v>
      </c>
      <c r="F32" s="17">
        <v>0.1</v>
      </c>
      <c r="G32" s="46">
        <f t="shared" si="1"/>
        <v>795.62636363636466</v>
      </c>
      <c r="H32" s="14" t="s">
        <v>52</v>
      </c>
      <c r="I32" s="49" t="s">
        <v>51</v>
      </c>
    </row>
    <row r="33" spans="1:9" ht="15.75" customHeight="1" x14ac:dyDescent="0.2">
      <c r="A33" s="109">
        <v>253262007</v>
      </c>
      <c r="B33" s="26" t="s">
        <v>13</v>
      </c>
      <c r="C33" s="82" t="s">
        <v>119</v>
      </c>
      <c r="D33" s="134">
        <v>4646.84</v>
      </c>
      <c r="E33" s="88">
        <f t="shared" si="0"/>
        <v>422.44</v>
      </c>
      <c r="F33" s="90">
        <v>0.1</v>
      </c>
      <c r="G33" s="88">
        <f t="shared" si="1"/>
        <v>422.44000000000051</v>
      </c>
      <c r="H33" s="82" t="s">
        <v>52</v>
      </c>
      <c r="I33" s="112" t="s">
        <v>51</v>
      </c>
    </row>
    <row r="34" spans="1:9" ht="15.75" customHeight="1" x14ac:dyDescent="0.2">
      <c r="A34" s="116">
        <v>253262007</v>
      </c>
      <c r="B34" s="118" t="s">
        <v>13</v>
      </c>
      <c r="C34" s="21" t="s">
        <v>123</v>
      </c>
      <c r="D34" s="22">
        <v>5300.74</v>
      </c>
      <c r="E34" s="103">
        <f t="shared" si="0"/>
        <v>481.88545454545448</v>
      </c>
      <c r="F34" s="24">
        <v>0.1</v>
      </c>
      <c r="G34" s="103">
        <f t="shared" si="1"/>
        <v>481.8854545454551</v>
      </c>
      <c r="H34" s="21" t="s">
        <v>52</v>
      </c>
      <c r="I34" s="120" t="s">
        <v>51</v>
      </c>
    </row>
    <row r="35" spans="1:9" ht="15.75" customHeight="1" x14ac:dyDescent="0.2">
      <c r="A35" s="44">
        <v>27432005</v>
      </c>
      <c r="B35" s="13" t="s">
        <v>14</v>
      </c>
      <c r="C35" s="14" t="s">
        <v>126</v>
      </c>
      <c r="D35" s="100"/>
      <c r="E35" s="46">
        <f t="shared" si="0"/>
        <v>0</v>
      </c>
      <c r="F35" s="17"/>
      <c r="G35" s="46">
        <f t="shared" si="1"/>
        <v>0</v>
      </c>
      <c r="H35" s="14" t="s">
        <v>50</v>
      </c>
      <c r="I35" s="49" t="s">
        <v>51</v>
      </c>
    </row>
    <row r="36" spans="1:9" ht="15.75" customHeight="1" x14ac:dyDescent="0.2">
      <c r="A36" s="109">
        <v>27432005</v>
      </c>
      <c r="B36" s="26" t="s">
        <v>14</v>
      </c>
      <c r="C36" s="82" t="s">
        <v>127</v>
      </c>
      <c r="D36" s="28"/>
      <c r="E36" s="88">
        <f t="shared" si="0"/>
        <v>0</v>
      </c>
      <c r="F36" s="90"/>
      <c r="G36" s="88">
        <f t="shared" si="1"/>
        <v>0</v>
      </c>
      <c r="H36" s="82" t="s">
        <v>50</v>
      </c>
      <c r="I36" s="112" t="s">
        <v>51</v>
      </c>
    </row>
    <row r="37" spans="1:9" ht="15.75" customHeight="1" x14ac:dyDescent="0.2">
      <c r="A37" s="109">
        <v>27432005</v>
      </c>
      <c r="B37" s="26" t="s">
        <v>14</v>
      </c>
      <c r="C37" s="82" t="s">
        <v>129</v>
      </c>
      <c r="D37" s="28"/>
      <c r="E37" s="88">
        <f t="shared" si="0"/>
        <v>0</v>
      </c>
      <c r="F37" s="90"/>
      <c r="G37" s="88">
        <f t="shared" si="1"/>
        <v>0</v>
      </c>
      <c r="H37" s="82" t="s">
        <v>50</v>
      </c>
      <c r="I37" s="112" t="s">
        <v>51</v>
      </c>
    </row>
    <row r="38" spans="1:9" ht="15.75" customHeight="1" x14ac:dyDescent="0.2">
      <c r="A38" s="116">
        <v>27432005</v>
      </c>
      <c r="B38" s="118" t="s">
        <v>14</v>
      </c>
      <c r="C38" s="21" t="s">
        <v>131</v>
      </c>
      <c r="D38" s="101"/>
      <c r="E38" s="103">
        <f t="shared" si="0"/>
        <v>0</v>
      </c>
      <c r="F38" s="24"/>
      <c r="G38" s="103">
        <f t="shared" si="1"/>
        <v>0</v>
      </c>
      <c r="H38" s="21" t="s">
        <v>50</v>
      </c>
      <c r="I38" s="120" t="s">
        <v>51</v>
      </c>
    </row>
    <row r="39" spans="1:9" ht="12.75" x14ac:dyDescent="0.2">
      <c r="A39" s="44">
        <v>217172008</v>
      </c>
      <c r="B39" s="13" t="s">
        <v>14</v>
      </c>
      <c r="C39" s="14" t="s">
        <v>34</v>
      </c>
      <c r="D39" s="15">
        <v>4479.03</v>
      </c>
      <c r="E39" s="46">
        <f t="shared" si="0"/>
        <v>407.1845454545454</v>
      </c>
      <c r="F39" s="17">
        <v>0.1</v>
      </c>
      <c r="G39" s="46">
        <f t="shared" si="1"/>
        <v>407.18454545454597</v>
      </c>
      <c r="H39" s="14" t="s">
        <v>42</v>
      </c>
      <c r="I39" s="49" t="s">
        <v>51</v>
      </c>
    </row>
    <row r="40" spans="1:9" ht="12.75" x14ac:dyDescent="0.2">
      <c r="A40" s="109">
        <v>217172008</v>
      </c>
      <c r="B40" s="26" t="s">
        <v>14</v>
      </c>
      <c r="C40" s="82" t="s">
        <v>133</v>
      </c>
      <c r="D40" s="134">
        <v>6463.69</v>
      </c>
      <c r="E40" s="88">
        <f t="shared" si="0"/>
        <v>587.60818181818183</v>
      </c>
      <c r="F40" s="90">
        <v>0.1</v>
      </c>
      <c r="G40" s="88">
        <f t="shared" si="1"/>
        <v>587.60818181818195</v>
      </c>
      <c r="H40" s="82" t="s">
        <v>42</v>
      </c>
      <c r="I40" s="112" t="s">
        <v>51</v>
      </c>
    </row>
    <row r="41" spans="1:9" ht="12.75" x14ac:dyDescent="0.2">
      <c r="A41" s="109">
        <v>217172008</v>
      </c>
      <c r="B41" s="26" t="s">
        <v>14</v>
      </c>
      <c r="C41" s="82" t="s">
        <v>135</v>
      </c>
      <c r="D41" s="134">
        <v>1701.8</v>
      </c>
      <c r="E41" s="88">
        <f t="shared" si="0"/>
        <v>154.70909090909092</v>
      </c>
      <c r="F41" s="90">
        <v>0.1</v>
      </c>
      <c r="G41" s="88">
        <f t="shared" si="1"/>
        <v>154.70909090909095</v>
      </c>
      <c r="H41" s="82" t="s">
        <v>42</v>
      </c>
      <c r="I41" s="112" t="s">
        <v>51</v>
      </c>
    </row>
    <row r="42" spans="1:9" ht="12.75" x14ac:dyDescent="0.2">
      <c r="A42" s="109">
        <v>217172008</v>
      </c>
      <c r="B42" s="26" t="s">
        <v>14</v>
      </c>
      <c r="C42" s="82" t="s">
        <v>137</v>
      </c>
      <c r="D42" s="134">
        <v>3302.93</v>
      </c>
      <c r="E42" s="88">
        <f t="shared" si="0"/>
        <v>300.26636363636356</v>
      </c>
      <c r="F42" s="90">
        <v>0.1</v>
      </c>
      <c r="G42" s="88">
        <f t="shared" si="1"/>
        <v>300.26636363636408</v>
      </c>
      <c r="H42" s="82" t="s">
        <v>42</v>
      </c>
      <c r="I42" s="112" t="s">
        <v>51</v>
      </c>
    </row>
    <row r="43" spans="1:9" ht="12.75" x14ac:dyDescent="0.2">
      <c r="A43" s="109">
        <v>217172008</v>
      </c>
      <c r="B43" s="26" t="s">
        <v>14</v>
      </c>
      <c r="C43" s="82" t="s">
        <v>140</v>
      </c>
      <c r="D43" s="134">
        <v>3297.73</v>
      </c>
      <c r="E43" s="88">
        <f t="shared" si="0"/>
        <v>299.79363636363632</v>
      </c>
      <c r="F43" s="90">
        <v>0.1</v>
      </c>
      <c r="G43" s="88">
        <f t="shared" si="1"/>
        <v>299.79363636363678</v>
      </c>
      <c r="H43" s="82" t="s">
        <v>42</v>
      </c>
      <c r="I43" s="112" t="s">
        <v>51</v>
      </c>
    </row>
    <row r="44" spans="1:9" ht="12.75" x14ac:dyDescent="0.2">
      <c r="A44" s="109">
        <v>217172008</v>
      </c>
      <c r="B44" s="26" t="s">
        <v>14</v>
      </c>
      <c r="C44" s="82" t="s">
        <v>143</v>
      </c>
      <c r="D44" s="134">
        <v>3380.92</v>
      </c>
      <c r="E44" s="88">
        <f t="shared" si="0"/>
        <v>307.35636363636365</v>
      </c>
      <c r="F44" s="90">
        <v>0.1</v>
      </c>
      <c r="G44" s="88">
        <f t="shared" si="1"/>
        <v>307.35636363636377</v>
      </c>
      <c r="H44" s="82" t="s">
        <v>42</v>
      </c>
      <c r="I44" s="112" t="s">
        <v>51</v>
      </c>
    </row>
    <row r="45" spans="1:9" ht="12.75" x14ac:dyDescent="0.2">
      <c r="A45" s="109">
        <v>217172008</v>
      </c>
      <c r="B45" s="26" t="s">
        <v>14</v>
      </c>
      <c r="C45" s="82" t="s">
        <v>146</v>
      </c>
      <c r="D45" s="134">
        <v>5599.66</v>
      </c>
      <c r="E45" s="88">
        <f t="shared" si="0"/>
        <v>509.05999999999995</v>
      </c>
      <c r="F45" s="90">
        <v>0.1</v>
      </c>
      <c r="G45" s="88">
        <f t="shared" si="1"/>
        <v>509.0600000000004</v>
      </c>
      <c r="H45" s="82" t="s">
        <v>42</v>
      </c>
      <c r="I45" s="112" t="s">
        <v>51</v>
      </c>
    </row>
    <row r="46" spans="1:9" ht="12.75" x14ac:dyDescent="0.2">
      <c r="A46" s="109">
        <v>217172008</v>
      </c>
      <c r="B46" s="26" t="s">
        <v>14</v>
      </c>
      <c r="C46" s="82" t="s">
        <v>148</v>
      </c>
      <c r="D46" s="134">
        <v>1958.67</v>
      </c>
      <c r="E46" s="88">
        <f t="shared" si="0"/>
        <v>178.06090909090909</v>
      </c>
      <c r="F46" s="90">
        <v>0.1</v>
      </c>
      <c r="G46" s="88">
        <f t="shared" si="1"/>
        <v>178.06090909090926</v>
      </c>
      <c r="H46" s="82" t="s">
        <v>42</v>
      </c>
      <c r="I46" s="112" t="s">
        <v>51</v>
      </c>
    </row>
    <row r="47" spans="1:9" ht="12.75" x14ac:dyDescent="0.2">
      <c r="A47" s="109">
        <v>217172008</v>
      </c>
      <c r="B47" s="26" t="s">
        <v>14</v>
      </c>
      <c r="C47" s="82" t="s">
        <v>151</v>
      </c>
      <c r="D47" s="134">
        <v>3325.02</v>
      </c>
      <c r="E47" s="88">
        <f t="shared" si="0"/>
        <v>302.27454545454543</v>
      </c>
      <c r="F47" s="90">
        <v>0.1</v>
      </c>
      <c r="G47" s="88">
        <f t="shared" si="1"/>
        <v>302.27454545454566</v>
      </c>
      <c r="H47" s="82" t="s">
        <v>42</v>
      </c>
      <c r="I47" s="112" t="s">
        <v>51</v>
      </c>
    </row>
    <row r="48" spans="1:9" ht="12.75" x14ac:dyDescent="0.2">
      <c r="A48" s="109">
        <v>217172008</v>
      </c>
      <c r="B48" s="26" t="s">
        <v>14</v>
      </c>
      <c r="C48" s="82" t="s">
        <v>154</v>
      </c>
      <c r="D48" s="134">
        <v>4267.34</v>
      </c>
      <c r="E48" s="88">
        <f t="shared" si="0"/>
        <v>387.94</v>
      </c>
      <c r="F48" s="90">
        <v>0.1</v>
      </c>
      <c r="G48" s="88">
        <f t="shared" si="1"/>
        <v>387.94000000000051</v>
      </c>
      <c r="H48" s="82" t="s">
        <v>42</v>
      </c>
      <c r="I48" s="112" t="s">
        <v>51</v>
      </c>
    </row>
    <row r="49" spans="1:9" ht="12.75" x14ac:dyDescent="0.2">
      <c r="A49" s="109">
        <v>217172008</v>
      </c>
      <c r="B49" s="26" t="s">
        <v>14</v>
      </c>
      <c r="C49" s="82" t="s">
        <v>158</v>
      </c>
      <c r="D49" s="134">
        <v>1936.45</v>
      </c>
      <c r="E49" s="88">
        <f t="shared" si="0"/>
        <v>176.04090909090908</v>
      </c>
      <c r="F49" s="90">
        <v>0.1</v>
      </c>
      <c r="G49" s="88">
        <f t="shared" si="1"/>
        <v>176.04090909090928</v>
      </c>
      <c r="H49" s="82" t="s">
        <v>42</v>
      </c>
      <c r="I49" s="112" t="s">
        <v>51</v>
      </c>
    </row>
    <row r="50" spans="1:9" ht="12.75" x14ac:dyDescent="0.2">
      <c r="A50" s="109">
        <v>217172008</v>
      </c>
      <c r="B50" s="26" t="s">
        <v>14</v>
      </c>
      <c r="C50" s="82" t="s">
        <v>160</v>
      </c>
      <c r="D50" s="134">
        <v>15031.39</v>
      </c>
      <c r="E50" s="88">
        <f t="shared" si="0"/>
        <v>1366.4899999999998</v>
      </c>
      <c r="F50" s="90">
        <v>0.1</v>
      </c>
      <c r="G50" s="88">
        <f t="shared" si="1"/>
        <v>1366.4900000000016</v>
      </c>
      <c r="H50" s="82" t="s">
        <v>42</v>
      </c>
      <c r="I50" s="112" t="s">
        <v>51</v>
      </c>
    </row>
    <row r="51" spans="1:9" ht="12.75" x14ac:dyDescent="0.2">
      <c r="A51" s="109">
        <v>217172008</v>
      </c>
      <c r="B51" s="26" t="s">
        <v>14</v>
      </c>
      <c r="C51" s="82" t="s">
        <v>162</v>
      </c>
      <c r="D51" s="134">
        <v>7518.54</v>
      </c>
      <c r="E51" s="88">
        <f t="shared" si="0"/>
        <v>683.50363636363636</v>
      </c>
      <c r="F51" s="90">
        <v>0.1</v>
      </c>
      <c r="G51" s="88">
        <f t="shared" si="1"/>
        <v>683.50363636363727</v>
      </c>
      <c r="H51" s="82" t="s">
        <v>42</v>
      </c>
      <c r="I51" s="112" t="s">
        <v>51</v>
      </c>
    </row>
    <row r="52" spans="1:9" ht="12.75" x14ac:dyDescent="0.2">
      <c r="A52" s="116">
        <v>217172008</v>
      </c>
      <c r="B52" s="118" t="s">
        <v>14</v>
      </c>
      <c r="C52" s="21" t="s">
        <v>164</v>
      </c>
      <c r="D52" s="22">
        <v>12166.84</v>
      </c>
      <c r="E52" s="103">
        <f t="shared" si="0"/>
        <v>1106.0763636363636</v>
      </c>
      <c r="F52" s="24">
        <v>0.1</v>
      </c>
      <c r="G52" s="103">
        <f t="shared" si="1"/>
        <v>1106.0763636363645</v>
      </c>
      <c r="H52" s="21" t="s">
        <v>42</v>
      </c>
      <c r="I52" s="120" t="s">
        <v>51</v>
      </c>
    </row>
    <row r="53" spans="1:9" ht="12.75" x14ac:dyDescent="0.2">
      <c r="A53" s="44">
        <v>231362008</v>
      </c>
      <c r="B53" s="13" t="s">
        <v>14</v>
      </c>
      <c r="C53" s="14" t="s">
        <v>33</v>
      </c>
      <c r="D53" s="100"/>
      <c r="E53" s="46">
        <f t="shared" si="0"/>
        <v>0</v>
      </c>
      <c r="F53" s="17">
        <v>0</v>
      </c>
      <c r="G53" s="46">
        <f t="shared" si="1"/>
        <v>0</v>
      </c>
      <c r="H53" s="14" t="s">
        <v>42</v>
      </c>
      <c r="I53" s="49" t="s">
        <v>51</v>
      </c>
    </row>
    <row r="54" spans="1:9" ht="12.75" x14ac:dyDescent="0.2">
      <c r="A54" s="109">
        <v>231362008</v>
      </c>
      <c r="B54" s="26" t="s">
        <v>14</v>
      </c>
      <c r="C54" s="82" t="s">
        <v>169</v>
      </c>
      <c r="D54" s="28"/>
      <c r="E54" s="88">
        <f t="shared" si="0"/>
        <v>0</v>
      </c>
      <c r="F54" s="90">
        <v>0</v>
      </c>
      <c r="G54" s="88">
        <f t="shared" si="1"/>
        <v>0</v>
      </c>
      <c r="H54" s="82" t="s">
        <v>42</v>
      </c>
      <c r="I54" s="112" t="s">
        <v>51</v>
      </c>
    </row>
    <row r="55" spans="1:9" ht="12.75" x14ac:dyDescent="0.2">
      <c r="A55" s="109">
        <v>231362008</v>
      </c>
      <c r="B55" s="26" t="s">
        <v>14</v>
      </c>
      <c r="C55" s="82" t="s">
        <v>171</v>
      </c>
      <c r="D55" s="28"/>
      <c r="E55" s="88">
        <f t="shared" si="0"/>
        <v>0</v>
      </c>
      <c r="F55" s="90">
        <v>0</v>
      </c>
      <c r="G55" s="88">
        <f t="shared" si="1"/>
        <v>0</v>
      </c>
      <c r="H55" s="82" t="s">
        <v>42</v>
      </c>
      <c r="I55" s="112" t="s">
        <v>51</v>
      </c>
    </row>
    <row r="56" spans="1:9" ht="12.75" x14ac:dyDescent="0.2">
      <c r="A56" s="109">
        <v>231362008</v>
      </c>
      <c r="B56" s="26" t="s">
        <v>14</v>
      </c>
      <c r="C56" s="82" t="s">
        <v>173</v>
      </c>
      <c r="D56" s="28"/>
      <c r="E56" s="88">
        <f t="shared" si="0"/>
        <v>0</v>
      </c>
      <c r="F56" s="90">
        <v>0</v>
      </c>
      <c r="G56" s="88">
        <f t="shared" si="1"/>
        <v>0</v>
      </c>
      <c r="H56" s="82" t="s">
        <v>42</v>
      </c>
      <c r="I56" s="112" t="s">
        <v>51</v>
      </c>
    </row>
    <row r="57" spans="1:9" ht="12.75" x14ac:dyDescent="0.2">
      <c r="A57" s="109">
        <v>231362008</v>
      </c>
      <c r="B57" s="26" t="s">
        <v>14</v>
      </c>
      <c r="C57" s="82" t="s">
        <v>174</v>
      </c>
      <c r="D57" s="28"/>
      <c r="E57" s="88">
        <f t="shared" si="0"/>
        <v>0</v>
      </c>
      <c r="F57" s="90">
        <v>0</v>
      </c>
      <c r="G57" s="88">
        <f t="shared" si="1"/>
        <v>0</v>
      </c>
      <c r="H57" s="82" t="s">
        <v>42</v>
      </c>
      <c r="I57" s="112" t="s">
        <v>51</v>
      </c>
    </row>
    <row r="58" spans="1:9" ht="12.75" x14ac:dyDescent="0.2">
      <c r="A58" s="109">
        <v>231362008</v>
      </c>
      <c r="B58" s="26" t="s">
        <v>14</v>
      </c>
      <c r="C58" s="82" t="s">
        <v>175</v>
      </c>
      <c r="D58" s="28"/>
      <c r="E58" s="88">
        <f t="shared" si="0"/>
        <v>0</v>
      </c>
      <c r="F58" s="90">
        <v>0</v>
      </c>
      <c r="G58" s="88">
        <f t="shared" si="1"/>
        <v>0</v>
      </c>
      <c r="H58" s="82" t="s">
        <v>42</v>
      </c>
      <c r="I58" s="112" t="s">
        <v>51</v>
      </c>
    </row>
    <row r="59" spans="1:9" ht="12.75" x14ac:dyDescent="0.2">
      <c r="A59" s="109">
        <v>231362008</v>
      </c>
      <c r="B59" s="26" t="s">
        <v>14</v>
      </c>
      <c r="C59" s="82" t="s">
        <v>177</v>
      </c>
      <c r="D59" s="28"/>
      <c r="E59" s="88">
        <f t="shared" si="0"/>
        <v>0</v>
      </c>
      <c r="F59" s="90">
        <v>0</v>
      </c>
      <c r="G59" s="88">
        <f t="shared" si="1"/>
        <v>0</v>
      </c>
      <c r="H59" s="82" t="s">
        <v>42</v>
      </c>
      <c r="I59" s="112" t="s">
        <v>51</v>
      </c>
    </row>
    <row r="60" spans="1:9" ht="12.75" x14ac:dyDescent="0.2">
      <c r="A60" s="109">
        <v>231362008</v>
      </c>
      <c r="B60" s="26" t="s">
        <v>14</v>
      </c>
      <c r="C60" s="82" t="s">
        <v>178</v>
      </c>
      <c r="D60" s="28"/>
      <c r="E60" s="88">
        <f t="shared" si="0"/>
        <v>0</v>
      </c>
      <c r="F60" s="90">
        <v>0</v>
      </c>
      <c r="G60" s="88">
        <f t="shared" si="1"/>
        <v>0</v>
      </c>
      <c r="H60" s="82" t="s">
        <v>42</v>
      </c>
      <c r="I60" s="112" t="s">
        <v>51</v>
      </c>
    </row>
    <row r="61" spans="1:9" ht="12.75" x14ac:dyDescent="0.2">
      <c r="A61" s="109">
        <v>231362008</v>
      </c>
      <c r="B61" s="26" t="s">
        <v>14</v>
      </c>
      <c r="C61" s="82" t="s">
        <v>179</v>
      </c>
      <c r="D61" s="28"/>
      <c r="E61" s="88">
        <f t="shared" si="0"/>
        <v>0</v>
      </c>
      <c r="F61" s="90">
        <v>0</v>
      </c>
      <c r="G61" s="88">
        <f t="shared" si="1"/>
        <v>0</v>
      </c>
      <c r="H61" s="82" t="s">
        <v>42</v>
      </c>
      <c r="I61" s="112" t="s">
        <v>51</v>
      </c>
    </row>
    <row r="62" spans="1:9" ht="12.75" x14ac:dyDescent="0.2">
      <c r="A62" s="109">
        <v>231362008</v>
      </c>
      <c r="B62" s="26" t="s">
        <v>14</v>
      </c>
      <c r="C62" s="82" t="s">
        <v>182</v>
      </c>
      <c r="D62" s="28"/>
      <c r="E62" s="88">
        <f t="shared" si="0"/>
        <v>0</v>
      </c>
      <c r="F62" s="90">
        <v>0</v>
      </c>
      <c r="G62" s="88">
        <f t="shared" si="1"/>
        <v>0</v>
      </c>
      <c r="H62" s="82" t="s">
        <v>42</v>
      </c>
      <c r="I62" s="112" t="s">
        <v>51</v>
      </c>
    </row>
    <row r="63" spans="1:9" ht="12.75" x14ac:dyDescent="0.2">
      <c r="A63" s="109">
        <v>231362008</v>
      </c>
      <c r="B63" s="26" t="s">
        <v>14</v>
      </c>
      <c r="C63" s="82" t="s">
        <v>185</v>
      </c>
      <c r="D63" s="28"/>
      <c r="E63" s="88">
        <f t="shared" si="0"/>
        <v>0</v>
      </c>
      <c r="F63" s="90">
        <v>0</v>
      </c>
      <c r="G63" s="88">
        <f t="shared" si="1"/>
        <v>0</v>
      </c>
      <c r="H63" s="82" t="s">
        <v>42</v>
      </c>
      <c r="I63" s="112" t="s">
        <v>51</v>
      </c>
    </row>
    <row r="64" spans="1:9" ht="12.75" x14ac:dyDescent="0.2">
      <c r="A64" s="109">
        <v>231362008</v>
      </c>
      <c r="B64" s="26" t="s">
        <v>14</v>
      </c>
      <c r="C64" s="82" t="s">
        <v>187</v>
      </c>
      <c r="D64" s="28"/>
      <c r="E64" s="88">
        <f t="shared" si="0"/>
        <v>0</v>
      </c>
      <c r="F64" s="90">
        <v>0</v>
      </c>
      <c r="G64" s="88">
        <f t="shared" si="1"/>
        <v>0</v>
      </c>
      <c r="H64" s="82" t="s">
        <v>42</v>
      </c>
      <c r="I64" s="112" t="s">
        <v>51</v>
      </c>
    </row>
    <row r="65" spans="1:9" ht="12.75" x14ac:dyDescent="0.2">
      <c r="A65" s="109">
        <v>231362008</v>
      </c>
      <c r="B65" s="26" t="s">
        <v>14</v>
      </c>
      <c r="C65" s="82" t="s">
        <v>190</v>
      </c>
      <c r="D65" s="28"/>
      <c r="E65" s="88">
        <f t="shared" si="0"/>
        <v>0</v>
      </c>
      <c r="F65" s="90">
        <v>0</v>
      </c>
      <c r="G65" s="88">
        <f t="shared" si="1"/>
        <v>0</v>
      </c>
      <c r="H65" s="82" t="s">
        <v>42</v>
      </c>
      <c r="I65" s="112" t="s">
        <v>51</v>
      </c>
    </row>
    <row r="66" spans="1:9" ht="12.75" x14ac:dyDescent="0.2">
      <c r="A66" s="116">
        <v>231362008</v>
      </c>
      <c r="B66" s="118" t="s">
        <v>14</v>
      </c>
      <c r="C66" s="21" t="s">
        <v>192</v>
      </c>
      <c r="D66" s="101"/>
      <c r="E66" s="103">
        <f t="shared" si="0"/>
        <v>0</v>
      </c>
      <c r="F66" s="24">
        <v>0</v>
      </c>
      <c r="G66" s="103">
        <f t="shared" si="1"/>
        <v>0</v>
      </c>
      <c r="H66" s="21" t="s">
        <v>42</v>
      </c>
      <c r="I66" s="120" t="s">
        <v>51</v>
      </c>
    </row>
    <row r="67" spans="1:9" ht="12.75" x14ac:dyDescent="0.2">
      <c r="A67" s="145">
        <v>66222004</v>
      </c>
      <c r="B67" s="6" t="s">
        <v>13</v>
      </c>
      <c r="C67" s="146" t="s">
        <v>196</v>
      </c>
      <c r="D67" s="147">
        <v>3680.68</v>
      </c>
      <c r="E67" s="113">
        <f t="shared" si="0"/>
        <v>334.60727272727269</v>
      </c>
      <c r="F67" s="10">
        <v>0.1</v>
      </c>
      <c r="G67" s="113">
        <f t="shared" si="1"/>
        <v>334.60727272727308</v>
      </c>
      <c r="H67" s="7" t="s">
        <v>202</v>
      </c>
      <c r="I67" s="148" t="s">
        <v>51</v>
      </c>
    </row>
    <row r="68" spans="1:9" ht="12.75" x14ac:dyDescent="0.2">
      <c r="A68" s="44">
        <v>160312010</v>
      </c>
      <c r="B68" s="13" t="s">
        <v>14</v>
      </c>
      <c r="C68" s="14" t="s">
        <v>205</v>
      </c>
      <c r="D68" s="100"/>
      <c r="E68" s="46">
        <f t="shared" si="0"/>
        <v>0</v>
      </c>
      <c r="F68" s="17">
        <v>0.1</v>
      </c>
      <c r="G68" s="46">
        <f t="shared" si="1"/>
        <v>0</v>
      </c>
      <c r="H68" s="14" t="s">
        <v>37</v>
      </c>
      <c r="I68" s="49" t="s">
        <v>51</v>
      </c>
    </row>
    <row r="69" spans="1:9" ht="12.75" x14ac:dyDescent="0.2">
      <c r="A69" s="109">
        <v>160312010</v>
      </c>
      <c r="B69" s="26" t="s">
        <v>14</v>
      </c>
      <c r="C69" s="82" t="s">
        <v>209</v>
      </c>
      <c r="D69" s="28"/>
      <c r="E69" s="88">
        <f t="shared" si="0"/>
        <v>0</v>
      </c>
      <c r="F69" s="90">
        <v>0.1</v>
      </c>
      <c r="G69" s="88">
        <f t="shared" si="1"/>
        <v>0</v>
      </c>
      <c r="H69" s="82" t="s">
        <v>37</v>
      </c>
      <c r="I69" s="112" t="s">
        <v>51</v>
      </c>
    </row>
    <row r="70" spans="1:9" ht="12.75" x14ac:dyDescent="0.2">
      <c r="A70" s="109">
        <v>160312010</v>
      </c>
      <c r="B70" s="26" t="s">
        <v>14</v>
      </c>
      <c r="C70" s="82" t="s">
        <v>211</v>
      </c>
      <c r="D70" s="28"/>
      <c r="E70" s="88">
        <f t="shared" si="0"/>
        <v>0</v>
      </c>
      <c r="F70" s="90">
        <v>0.1</v>
      </c>
      <c r="G70" s="88">
        <f t="shared" si="1"/>
        <v>0</v>
      </c>
      <c r="H70" s="82" t="s">
        <v>37</v>
      </c>
      <c r="I70" s="112" t="s">
        <v>51</v>
      </c>
    </row>
    <row r="71" spans="1:9" ht="12.75" x14ac:dyDescent="0.2">
      <c r="A71" s="109">
        <v>160312010</v>
      </c>
      <c r="B71" s="26" t="s">
        <v>14</v>
      </c>
      <c r="C71" s="82" t="s">
        <v>214</v>
      </c>
      <c r="D71" s="28"/>
      <c r="E71" s="88">
        <f t="shared" si="0"/>
        <v>0</v>
      </c>
      <c r="F71" s="90">
        <v>0.1</v>
      </c>
      <c r="G71" s="88">
        <f t="shared" si="1"/>
        <v>0</v>
      </c>
      <c r="H71" s="82" t="s">
        <v>37</v>
      </c>
      <c r="I71" s="112" t="s">
        <v>51</v>
      </c>
    </row>
    <row r="72" spans="1:9" ht="12.75" x14ac:dyDescent="0.2">
      <c r="A72" s="109">
        <v>160312010</v>
      </c>
      <c r="B72" s="26" t="s">
        <v>14</v>
      </c>
      <c r="C72" s="82" t="s">
        <v>217</v>
      </c>
      <c r="D72" s="28"/>
      <c r="E72" s="88">
        <f t="shared" si="0"/>
        <v>0</v>
      </c>
      <c r="F72" s="90">
        <v>0.1</v>
      </c>
      <c r="G72" s="88">
        <f t="shared" si="1"/>
        <v>0</v>
      </c>
      <c r="H72" s="82" t="s">
        <v>37</v>
      </c>
      <c r="I72" s="112" t="s">
        <v>51</v>
      </c>
    </row>
    <row r="73" spans="1:9" ht="12.75" x14ac:dyDescent="0.2">
      <c r="A73" s="109">
        <v>160312010</v>
      </c>
      <c r="B73" s="26" t="s">
        <v>14</v>
      </c>
      <c r="C73" s="82" t="s">
        <v>220</v>
      </c>
      <c r="D73" s="28"/>
      <c r="E73" s="88">
        <f t="shared" si="0"/>
        <v>0</v>
      </c>
      <c r="F73" s="90">
        <v>0.1</v>
      </c>
      <c r="G73" s="88">
        <f t="shared" si="1"/>
        <v>0</v>
      </c>
      <c r="H73" s="82" t="s">
        <v>37</v>
      </c>
      <c r="I73" s="112" t="s">
        <v>51</v>
      </c>
    </row>
    <row r="74" spans="1:9" ht="12.75" x14ac:dyDescent="0.2">
      <c r="A74" s="109">
        <v>160312010</v>
      </c>
      <c r="B74" s="26" t="s">
        <v>14</v>
      </c>
      <c r="C74" s="82" t="s">
        <v>222</v>
      </c>
      <c r="D74" s="28"/>
      <c r="E74" s="88">
        <f t="shared" si="0"/>
        <v>0</v>
      </c>
      <c r="F74" s="90">
        <v>0.1</v>
      </c>
      <c r="G74" s="88">
        <f t="shared" si="1"/>
        <v>0</v>
      </c>
      <c r="H74" s="82" t="s">
        <v>37</v>
      </c>
      <c r="I74" s="112" t="s">
        <v>51</v>
      </c>
    </row>
    <row r="75" spans="1:9" ht="12.75" x14ac:dyDescent="0.2">
      <c r="A75" s="109">
        <v>160312010</v>
      </c>
      <c r="B75" s="26" t="s">
        <v>14</v>
      </c>
      <c r="C75" s="82" t="s">
        <v>225</v>
      </c>
      <c r="D75" s="28"/>
      <c r="E75" s="88">
        <f t="shared" si="0"/>
        <v>0</v>
      </c>
      <c r="F75" s="90">
        <v>0.1</v>
      </c>
      <c r="G75" s="88">
        <f t="shared" si="1"/>
        <v>0</v>
      </c>
      <c r="H75" s="82" t="s">
        <v>37</v>
      </c>
      <c r="I75" s="112" t="s">
        <v>51</v>
      </c>
    </row>
    <row r="76" spans="1:9" ht="12.75" x14ac:dyDescent="0.2">
      <c r="A76" s="109">
        <v>160312010</v>
      </c>
      <c r="B76" s="26" t="s">
        <v>14</v>
      </c>
      <c r="C76" s="82" t="s">
        <v>226</v>
      </c>
      <c r="D76" s="28"/>
      <c r="E76" s="88">
        <f t="shared" si="0"/>
        <v>0</v>
      </c>
      <c r="F76" s="90">
        <v>0.1</v>
      </c>
      <c r="G76" s="88">
        <f t="shared" si="1"/>
        <v>0</v>
      </c>
      <c r="H76" s="82" t="s">
        <v>37</v>
      </c>
      <c r="I76" s="112" t="s">
        <v>51</v>
      </c>
    </row>
    <row r="77" spans="1:9" ht="12.75" x14ac:dyDescent="0.2">
      <c r="A77" s="109">
        <v>160312010</v>
      </c>
      <c r="B77" s="26" t="s">
        <v>14</v>
      </c>
      <c r="C77" s="82" t="s">
        <v>228</v>
      </c>
      <c r="D77" s="28"/>
      <c r="E77" s="88">
        <f t="shared" si="0"/>
        <v>0</v>
      </c>
      <c r="F77" s="90">
        <v>0.1</v>
      </c>
      <c r="G77" s="88">
        <f t="shared" si="1"/>
        <v>0</v>
      </c>
      <c r="H77" s="82" t="s">
        <v>37</v>
      </c>
      <c r="I77" s="112" t="s">
        <v>51</v>
      </c>
    </row>
    <row r="78" spans="1:9" ht="12.75" x14ac:dyDescent="0.2">
      <c r="A78" s="109">
        <v>160312010</v>
      </c>
      <c r="B78" s="26" t="s">
        <v>14</v>
      </c>
      <c r="C78" s="82" t="s">
        <v>229</v>
      </c>
      <c r="D78" s="28"/>
      <c r="E78" s="88">
        <f t="shared" si="0"/>
        <v>0</v>
      </c>
      <c r="F78" s="90">
        <v>0.1</v>
      </c>
      <c r="G78" s="88">
        <f t="shared" si="1"/>
        <v>0</v>
      </c>
      <c r="H78" s="82" t="s">
        <v>37</v>
      </c>
      <c r="I78" s="112" t="s">
        <v>51</v>
      </c>
    </row>
    <row r="79" spans="1:9" ht="12.75" x14ac:dyDescent="0.2">
      <c r="A79" s="109">
        <v>160312010</v>
      </c>
      <c r="B79" s="26" t="s">
        <v>14</v>
      </c>
      <c r="C79" s="82" t="s">
        <v>232</v>
      </c>
      <c r="D79" s="28"/>
      <c r="E79" s="88">
        <f t="shared" si="0"/>
        <v>0</v>
      </c>
      <c r="F79" s="90">
        <v>0.1</v>
      </c>
      <c r="G79" s="88">
        <f t="shared" si="1"/>
        <v>0</v>
      </c>
      <c r="H79" s="82" t="s">
        <v>37</v>
      </c>
      <c r="I79" s="112" t="s">
        <v>51</v>
      </c>
    </row>
    <row r="80" spans="1:9" ht="12.75" x14ac:dyDescent="0.2">
      <c r="A80" s="109">
        <v>160312010</v>
      </c>
      <c r="B80" s="26" t="s">
        <v>14</v>
      </c>
      <c r="C80" s="82" t="s">
        <v>234</v>
      </c>
      <c r="D80" s="28"/>
      <c r="E80" s="88">
        <f t="shared" si="0"/>
        <v>0</v>
      </c>
      <c r="F80" s="90">
        <v>0.1</v>
      </c>
      <c r="G80" s="88">
        <f t="shared" si="1"/>
        <v>0</v>
      </c>
      <c r="H80" s="82" t="s">
        <v>37</v>
      </c>
      <c r="I80" s="112" t="s">
        <v>51</v>
      </c>
    </row>
    <row r="81" spans="1:9" ht="12.75" x14ac:dyDescent="0.2">
      <c r="A81" s="109">
        <v>160312010</v>
      </c>
      <c r="B81" s="26" t="s">
        <v>14</v>
      </c>
      <c r="C81" s="82" t="s">
        <v>236</v>
      </c>
      <c r="D81" s="28"/>
      <c r="E81" s="88">
        <f t="shared" si="0"/>
        <v>0</v>
      </c>
      <c r="F81" s="90">
        <v>0.1</v>
      </c>
      <c r="G81" s="88">
        <f t="shared" si="1"/>
        <v>0</v>
      </c>
      <c r="H81" s="82" t="s">
        <v>37</v>
      </c>
      <c r="I81" s="112" t="s">
        <v>51</v>
      </c>
    </row>
    <row r="82" spans="1:9" ht="12.75" x14ac:dyDescent="0.2">
      <c r="A82" s="116">
        <v>160312010</v>
      </c>
      <c r="B82" s="118" t="s">
        <v>14</v>
      </c>
      <c r="C82" s="21" t="s">
        <v>238</v>
      </c>
      <c r="D82" s="101"/>
      <c r="E82" s="103">
        <f t="shared" si="0"/>
        <v>0</v>
      </c>
      <c r="F82" s="24">
        <v>0.1</v>
      </c>
      <c r="G82" s="103">
        <f t="shared" si="1"/>
        <v>0</v>
      </c>
      <c r="H82" s="21" t="s">
        <v>37</v>
      </c>
      <c r="I82" s="120" t="s">
        <v>51</v>
      </c>
    </row>
    <row r="83" spans="1:9" ht="12.75" x14ac:dyDescent="0.2">
      <c r="A83" s="44">
        <v>290172008</v>
      </c>
      <c r="B83" s="13" t="s">
        <v>14</v>
      </c>
      <c r="C83" s="14" t="s">
        <v>240</v>
      </c>
      <c r="D83" s="100"/>
      <c r="E83" s="46">
        <f t="shared" si="0"/>
        <v>0</v>
      </c>
      <c r="F83" s="17">
        <v>0.1</v>
      </c>
      <c r="G83" s="46">
        <f t="shared" si="1"/>
        <v>0</v>
      </c>
      <c r="H83" s="14" t="s">
        <v>50</v>
      </c>
      <c r="I83" s="49" t="s">
        <v>51</v>
      </c>
    </row>
    <row r="84" spans="1:9" ht="12.75" x14ac:dyDescent="0.2">
      <c r="A84" s="109">
        <v>290172008</v>
      </c>
      <c r="B84" s="26" t="s">
        <v>14</v>
      </c>
      <c r="C84" s="82" t="s">
        <v>242</v>
      </c>
      <c r="D84" s="28"/>
      <c r="E84" s="88">
        <f t="shared" si="0"/>
        <v>0</v>
      </c>
      <c r="F84" s="90">
        <v>0.1</v>
      </c>
      <c r="G84" s="88">
        <f t="shared" si="1"/>
        <v>0</v>
      </c>
      <c r="H84" s="82" t="s">
        <v>50</v>
      </c>
      <c r="I84" s="112" t="s">
        <v>51</v>
      </c>
    </row>
    <row r="85" spans="1:9" ht="12.75" x14ac:dyDescent="0.2">
      <c r="A85" s="109">
        <v>290172008</v>
      </c>
      <c r="B85" s="26" t="s">
        <v>14</v>
      </c>
      <c r="C85" s="82" t="s">
        <v>244</v>
      </c>
      <c r="D85" s="28"/>
      <c r="E85" s="88">
        <f t="shared" si="0"/>
        <v>0</v>
      </c>
      <c r="F85" s="90">
        <v>0.1</v>
      </c>
      <c r="G85" s="88">
        <f t="shared" si="1"/>
        <v>0</v>
      </c>
      <c r="H85" s="82" t="s">
        <v>50</v>
      </c>
      <c r="I85" s="112" t="s">
        <v>51</v>
      </c>
    </row>
    <row r="86" spans="1:9" ht="12.75" x14ac:dyDescent="0.2">
      <c r="A86" s="109">
        <v>290172008</v>
      </c>
      <c r="B86" s="26" t="s">
        <v>14</v>
      </c>
      <c r="C86" s="82" t="s">
        <v>246</v>
      </c>
      <c r="D86" s="28"/>
      <c r="E86" s="88">
        <f t="shared" si="0"/>
        <v>0</v>
      </c>
      <c r="F86" s="90">
        <v>0.1</v>
      </c>
      <c r="G86" s="88">
        <f t="shared" si="1"/>
        <v>0</v>
      </c>
      <c r="H86" s="82" t="s">
        <v>50</v>
      </c>
      <c r="I86" s="112" t="s">
        <v>51</v>
      </c>
    </row>
    <row r="87" spans="1:9" ht="12.75" x14ac:dyDescent="0.2">
      <c r="A87" s="109">
        <v>290172008</v>
      </c>
      <c r="B87" s="26" t="s">
        <v>14</v>
      </c>
      <c r="C87" s="82" t="s">
        <v>248</v>
      </c>
      <c r="D87" s="28"/>
      <c r="E87" s="88">
        <f t="shared" si="0"/>
        <v>0</v>
      </c>
      <c r="F87" s="90">
        <v>0.1</v>
      </c>
      <c r="G87" s="88">
        <f t="shared" si="1"/>
        <v>0</v>
      </c>
      <c r="H87" s="82" t="s">
        <v>50</v>
      </c>
      <c r="I87" s="112" t="s">
        <v>51</v>
      </c>
    </row>
    <row r="88" spans="1:9" ht="12.75" x14ac:dyDescent="0.2">
      <c r="A88" s="109">
        <v>290172008</v>
      </c>
      <c r="B88" s="26" t="s">
        <v>14</v>
      </c>
      <c r="C88" s="82" t="s">
        <v>250</v>
      </c>
      <c r="D88" s="28"/>
      <c r="E88" s="88">
        <f t="shared" si="0"/>
        <v>0</v>
      </c>
      <c r="F88" s="90">
        <v>0.1</v>
      </c>
      <c r="G88" s="88">
        <f t="shared" si="1"/>
        <v>0</v>
      </c>
      <c r="H88" s="82" t="s">
        <v>50</v>
      </c>
      <c r="I88" s="112" t="s">
        <v>51</v>
      </c>
    </row>
    <row r="89" spans="1:9" ht="12.75" x14ac:dyDescent="0.2">
      <c r="A89" s="109">
        <v>290172008</v>
      </c>
      <c r="B89" s="26" t="s">
        <v>14</v>
      </c>
      <c r="C89" s="82" t="s">
        <v>252</v>
      </c>
      <c r="D89" s="28"/>
      <c r="E89" s="88">
        <f t="shared" si="0"/>
        <v>0</v>
      </c>
      <c r="F89" s="90">
        <v>0.1</v>
      </c>
      <c r="G89" s="88">
        <f t="shared" si="1"/>
        <v>0</v>
      </c>
      <c r="H89" s="82" t="s">
        <v>50</v>
      </c>
      <c r="I89" s="112" t="s">
        <v>51</v>
      </c>
    </row>
    <row r="90" spans="1:9" ht="12.75" x14ac:dyDescent="0.2">
      <c r="A90" s="109">
        <v>290172008</v>
      </c>
      <c r="B90" s="26" t="s">
        <v>14</v>
      </c>
      <c r="C90" s="82" t="s">
        <v>254</v>
      </c>
      <c r="D90" s="28"/>
      <c r="E90" s="88">
        <f t="shared" si="0"/>
        <v>0</v>
      </c>
      <c r="F90" s="90">
        <v>0.1</v>
      </c>
      <c r="G90" s="88">
        <f t="shared" si="1"/>
        <v>0</v>
      </c>
      <c r="H90" s="82" t="s">
        <v>50</v>
      </c>
      <c r="I90" s="112" t="s">
        <v>51</v>
      </c>
    </row>
    <row r="91" spans="1:9" ht="12.75" x14ac:dyDescent="0.2">
      <c r="A91" s="109">
        <v>290172008</v>
      </c>
      <c r="B91" s="26" t="s">
        <v>14</v>
      </c>
      <c r="C91" s="82" t="s">
        <v>257</v>
      </c>
      <c r="D91" s="28"/>
      <c r="E91" s="88">
        <f t="shared" si="0"/>
        <v>0</v>
      </c>
      <c r="F91" s="90">
        <v>0.1</v>
      </c>
      <c r="G91" s="88">
        <f t="shared" si="1"/>
        <v>0</v>
      </c>
      <c r="H91" s="82" t="s">
        <v>50</v>
      </c>
      <c r="I91" s="112" t="s">
        <v>51</v>
      </c>
    </row>
    <row r="92" spans="1:9" ht="12.75" x14ac:dyDescent="0.2">
      <c r="A92" s="109">
        <v>290172008</v>
      </c>
      <c r="B92" s="26" t="s">
        <v>14</v>
      </c>
      <c r="C92" s="82" t="s">
        <v>259</v>
      </c>
      <c r="D92" s="28"/>
      <c r="E92" s="88">
        <f t="shared" si="0"/>
        <v>0</v>
      </c>
      <c r="F92" s="90">
        <v>0.1</v>
      </c>
      <c r="G92" s="88">
        <f t="shared" si="1"/>
        <v>0</v>
      </c>
      <c r="H92" s="82" t="s">
        <v>50</v>
      </c>
      <c r="I92" s="112" t="s">
        <v>51</v>
      </c>
    </row>
    <row r="93" spans="1:9" ht="12.75" x14ac:dyDescent="0.2">
      <c r="A93" s="109">
        <v>290172008</v>
      </c>
      <c r="B93" s="26" t="s">
        <v>14</v>
      </c>
      <c r="C93" s="82" t="s">
        <v>261</v>
      </c>
      <c r="D93" s="28"/>
      <c r="E93" s="88">
        <f t="shared" si="0"/>
        <v>0</v>
      </c>
      <c r="F93" s="90">
        <v>0.1</v>
      </c>
      <c r="G93" s="88">
        <f t="shared" si="1"/>
        <v>0</v>
      </c>
      <c r="H93" s="82" t="s">
        <v>50</v>
      </c>
      <c r="I93" s="112" t="s">
        <v>51</v>
      </c>
    </row>
    <row r="94" spans="1:9" ht="12.75" x14ac:dyDescent="0.2">
      <c r="A94" s="109">
        <v>290172008</v>
      </c>
      <c r="B94" s="26" t="s">
        <v>14</v>
      </c>
      <c r="C94" s="82" t="s">
        <v>263</v>
      </c>
      <c r="D94" s="28"/>
      <c r="E94" s="88">
        <f t="shared" si="0"/>
        <v>0</v>
      </c>
      <c r="F94" s="90">
        <v>0.1</v>
      </c>
      <c r="G94" s="88">
        <f t="shared" si="1"/>
        <v>0</v>
      </c>
      <c r="H94" s="82" t="s">
        <v>50</v>
      </c>
      <c r="I94" s="112" t="s">
        <v>51</v>
      </c>
    </row>
    <row r="95" spans="1:9" ht="12.75" x14ac:dyDescent="0.2">
      <c r="A95" s="109">
        <v>290172008</v>
      </c>
      <c r="B95" s="26" t="s">
        <v>14</v>
      </c>
      <c r="C95" s="82" t="s">
        <v>266</v>
      </c>
      <c r="D95" s="28"/>
      <c r="E95" s="88">
        <f t="shared" si="0"/>
        <v>0</v>
      </c>
      <c r="F95" s="90">
        <v>0.1</v>
      </c>
      <c r="G95" s="88">
        <f t="shared" si="1"/>
        <v>0</v>
      </c>
      <c r="H95" s="82" t="s">
        <v>50</v>
      </c>
      <c r="I95" s="112" t="s">
        <v>51</v>
      </c>
    </row>
    <row r="96" spans="1:9" ht="12.75" x14ac:dyDescent="0.2">
      <c r="A96" s="109">
        <v>290172008</v>
      </c>
      <c r="B96" s="26" t="s">
        <v>14</v>
      </c>
      <c r="C96" s="82" t="s">
        <v>268</v>
      </c>
      <c r="D96" s="28"/>
      <c r="E96" s="88">
        <f t="shared" si="0"/>
        <v>0</v>
      </c>
      <c r="F96" s="90">
        <v>0.1</v>
      </c>
      <c r="G96" s="88">
        <f t="shared" si="1"/>
        <v>0</v>
      </c>
      <c r="H96" s="82" t="s">
        <v>50</v>
      </c>
      <c r="I96" s="112" t="s">
        <v>51</v>
      </c>
    </row>
    <row r="97" spans="1:9" ht="12.75" x14ac:dyDescent="0.2">
      <c r="A97" s="116">
        <v>290172008</v>
      </c>
      <c r="B97" s="118" t="s">
        <v>14</v>
      </c>
      <c r="C97" s="21" t="s">
        <v>270</v>
      </c>
      <c r="D97" s="101"/>
      <c r="E97" s="103">
        <f t="shared" si="0"/>
        <v>0</v>
      </c>
      <c r="F97" s="24">
        <v>0.1</v>
      </c>
      <c r="G97" s="103">
        <f t="shared" si="1"/>
        <v>0</v>
      </c>
      <c r="H97" s="21" t="s">
        <v>50</v>
      </c>
      <c r="I97" s="120" t="s">
        <v>51</v>
      </c>
    </row>
    <row r="98" spans="1:9" ht="12.75" x14ac:dyDescent="0.2">
      <c r="A98" s="44">
        <v>182392008</v>
      </c>
      <c r="B98" s="13" t="s">
        <v>13</v>
      </c>
      <c r="C98" s="14" t="s">
        <v>273</v>
      </c>
      <c r="D98" s="100"/>
      <c r="E98" s="46">
        <f t="shared" si="0"/>
        <v>0</v>
      </c>
      <c r="F98" s="17">
        <v>0.1</v>
      </c>
      <c r="G98" s="46">
        <f t="shared" si="1"/>
        <v>0</v>
      </c>
      <c r="H98" s="14" t="s">
        <v>275</v>
      </c>
      <c r="I98" s="49" t="s">
        <v>51</v>
      </c>
    </row>
    <row r="99" spans="1:9" ht="12.75" x14ac:dyDescent="0.2">
      <c r="A99" s="109">
        <v>182392008</v>
      </c>
      <c r="B99" s="26" t="s">
        <v>13</v>
      </c>
      <c r="C99" s="82" t="s">
        <v>276</v>
      </c>
      <c r="D99" s="28"/>
      <c r="E99" s="88">
        <f t="shared" si="0"/>
        <v>0</v>
      </c>
      <c r="F99" s="90">
        <v>0.1</v>
      </c>
      <c r="G99" s="88">
        <f t="shared" si="1"/>
        <v>0</v>
      </c>
      <c r="H99" s="82" t="s">
        <v>275</v>
      </c>
      <c r="I99" s="112" t="s">
        <v>51</v>
      </c>
    </row>
    <row r="100" spans="1:9" ht="12.75" x14ac:dyDescent="0.2">
      <c r="A100" s="109">
        <v>182392008</v>
      </c>
      <c r="B100" s="26" t="s">
        <v>13</v>
      </c>
      <c r="C100" s="82" t="s">
        <v>279</v>
      </c>
      <c r="D100" s="28"/>
      <c r="E100" s="88">
        <f t="shared" si="0"/>
        <v>0</v>
      </c>
      <c r="F100" s="90">
        <v>0.1</v>
      </c>
      <c r="G100" s="88">
        <f t="shared" si="1"/>
        <v>0</v>
      </c>
      <c r="H100" s="82" t="s">
        <v>275</v>
      </c>
      <c r="I100" s="112" t="s">
        <v>51</v>
      </c>
    </row>
    <row r="101" spans="1:9" ht="12.75" x14ac:dyDescent="0.2">
      <c r="A101" s="116">
        <v>182392008</v>
      </c>
      <c r="B101" s="118" t="s">
        <v>13</v>
      </c>
      <c r="C101" s="21" t="s">
        <v>280</v>
      </c>
      <c r="D101" s="101"/>
      <c r="E101" s="103">
        <f t="shared" si="0"/>
        <v>0</v>
      </c>
      <c r="F101" s="24">
        <v>0.1</v>
      </c>
      <c r="G101" s="103">
        <f t="shared" si="1"/>
        <v>0</v>
      </c>
      <c r="H101" s="21" t="s">
        <v>275</v>
      </c>
      <c r="I101" s="120" t="s">
        <v>51</v>
      </c>
    </row>
    <row r="102" spans="1:9" ht="12.75" x14ac:dyDescent="0.2">
      <c r="A102" s="44">
        <v>47002005</v>
      </c>
      <c r="B102" s="13" t="s">
        <v>14</v>
      </c>
      <c r="C102" s="14" t="s">
        <v>282</v>
      </c>
      <c r="D102" s="100"/>
      <c r="E102" s="46">
        <f t="shared" si="0"/>
        <v>0</v>
      </c>
      <c r="F102" s="17">
        <v>0.1</v>
      </c>
      <c r="G102" s="46">
        <f t="shared" si="1"/>
        <v>0</v>
      </c>
      <c r="H102" s="14" t="s">
        <v>284</v>
      </c>
      <c r="I102" s="49" t="s">
        <v>51</v>
      </c>
    </row>
    <row r="103" spans="1:9" ht="12.75" x14ac:dyDescent="0.2">
      <c r="A103" s="109">
        <v>47002005</v>
      </c>
      <c r="B103" s="26" t="s">
        <v>14</v>
      </c>
      <c r="C103" s="82" t="s">
        <v>286</v>
      </c>
      <c r="D103" s="28"/>
      <c r="E103" s="88">
        <f t="shared" si="0"/>
        <v>0</v>
      </c>
      <c r="F103" s="90">
        <v>0.1</v>
      </c>
      <c r="G103" s="88">
        <f t="shared" si="1"/>
        <v>0</v>
      </c>
      <c r="H103" s="82" t="s">
        <v>284</v>
      </c>
      <c r="I103" s="112" t="s">
        <v>51</v>
      </c>
    </row>
    <row r="104" spans="1:9" ht="12.75" x14ac:dyDescent="0.2">
      <c r="A104" s="109">
        <v>47002005</v>
      </c>
      <c r="B104" s="26" t="s">
        <v>14</v>
      </c>
      <c r="C104" s="82" t="s">
        <v>288</v>
      </c>
      <c r="D104" s="28"/>
      <c r="E104" s="88">
        <f t="shared" si="0"/>
        <v>0</v>
      </c>
      <c r="F104" s="90">
        <v>0.1</v>
      </c>
      <c r="G104" s="88">
        <f t="shared" si="1"/>
        <v>0</v>
      </c>
      <c r="H104" s="82" t="s">
        <v>284</v>
      </c>
      <c r="I104" s="112" t="s">
        <v>51</v>
      </c>
    </row>
    <row r="105" spans="1:9" ht="12.75" x14ac:dyDescent="0.2">
      <c r="A105" s="109">
        <v>47002005</v>
      </c>
      <c r="B105" s="26" t="s">
        <v>14</v>
      </c>
      <c r="C105" s="82" t="s">
        <v>291</v>
      </c>
      <c r="D105" s="28"/>
      <c r="E105" s="88">
        <f t="shared" si="0"/>
        <v>0</v>
      </c>
      <c r="F105" s="90">
        <v>0.1</v>
      </c>
      <c r="G105" s="88">
        <f t="shared" si="1"/>
        <v>0</v>
      </c>
      <c r="H105" s="82" t="s">
        <v>284</v>
      </c>
      <c r="I105" s="112" t="s">
        <v>51</v>
      </c>
    </row>
    <row r="106" spans="1:9" ht="12.75" x14ac:dyDescent="0.2">
      <c r="A106" s="109">
        <v>47002005</v>
      </c>
      <c r="B106" s="26" t="s">
        <v>14</v>
      </c>
      <c r="C106" s="82" t="s">
        <v>293</v>
      </c>
      <c r="D106" s="28"/>
      <c r="E106" s="88">
        <f t="shared" si="0"/>
        <v>0</v>
      </c>
      <c r="F106" s="90">
        <v>0.1</v>
      </c>
      <c r="G106" s="88">
        <f t="shared" si="1"/>
        <v>0</v>
      </c>
      <c r="H106" s="82" t="s">
        <v>284</v>
      </c>
      <c r="I106" s="112" t="s">
        <v>51</v>
      </c>
    </row>
    <row r="107" spans="1:9" ht="12.75" x14ac:dyDescent="0.2">
      <c r="A107" s="116">
        <v>47002005</v>
      </c>
      <c r="B107" s="118" t="s">
        <v>14</v>
      </c>
      <c r="C107" s="21" t="s">
        <v>295</v>
      </c>
      <c r="D107" s="101"/>
      <c r="E107" s="103">
        <f t="shared" si="0"/>
        <v>0</v>
      </c>
      <c r="F107" s="24">
        <v>0.1</v>
      </c>
      <c r="G107" s="103">
        <f t="shared" si="1"/>
        <v>0</v>
      </c>
      <c r="H107" s="21" t="s">
        <v>284</v>
      </c>
      <c r="I107" s="120" t="s">
        <v>51</v>
      </c>
    </row>
    <row r="108" spans="1:9" ht="12.75" x14ac:dyDescent="0.2">
      <c r="A108" s="44">
        <v>87902006</v>
      </c>
      <c r="B108" s="13" t="s">
        <v>14</v>
      </c>
      <c r="C108" s="14" t="s">
        <v>297</v>
      </c>
      <c r="D108" s="100"/>
      <c r="E108" s="46">
        <f t="shared" si="0"/>
        <v>0</v>
      </c>
      <c r="F108" s="17"/>
      <c r="G108" s="46">
        <f t="shared" si="1"/>
        <v>0</v>
      </c>
      <c r="H108" s="14" t="s">
        <v>50</v>
      </c>
      <c r="I108" s="49" t="s">
        <v>51</v>
      </c>
    </row>
    <row r="109" spans="1:9" ht="12.75" x14ac:dyDescent="0.2">
      <c r="A109" s="109">
        <v>87902006</v>
      </c>
      <c r="B109" s="26" t="s">
        <v>14</v>
      </c>
      <c r="C109" s="82" t="s">
        <v>299</v>
      </c>
      <c r="D109" s="28"/>
      <c r="E109" s="88">
        <f t="shared" si="0"/>
        <v>0</v>
      </c>
      <c r="F109" s="90"/>
      <c r="G109" s="88">
        <f t="shared" si="1"/>
        <v>0</v>
      </c>
      <c r="H109" s="82" t="s">
        <v>50</v>
      </c>
      <c r="I109" s="112" t="s">
        <v>51</v>
      </c>
    </row>
    <row r="110" spans="1:9" ht="12.75" x14ac:dyDescent="0.2">
      <c r="A110" s="109">
        <v>87902006</v>
      </c>
      <c r="B110" s="26" t="s">
        <v>14</v>
      </c>
      <c r="C110" s="82" t="s">
        <v>300</v>
      </c>
      <c r="D110" s="28"/>
      <c r="E110" s="88">
        <f t="shared" si="0"/>
        <v>0</v>
      </c>
      <c r="F110" s="90"/>
      <c r="G110" s="88">
        <f t="shared" si="1"/>
        <v>0</v>
      </c>
      <c r="H110" s="82" t="s">
        <v>50</v>
      </c>
      <c r="I110" s="112" t="s">
        <v>51</v>
      </c>
    </row>
    <row r="111" spans="1:9" ht="12.75" x14ac:dyDescent="0.2">
      <c r="A111" s="109">
        <v>87902006</v>
      </c>
      <c r="B111" s="26" t="s">
        <v>14</v>
      </c>
      <c r="C111" s="82" t="s">
        <v>301</v>
      </c>
      <c r="D111" s="28"/>
      <c r="E111" s="88">
        <f t="shared" si="0"/>
        <v>0</v>
      </c>
      <c r="F111" s="90"/>
      <c r="G111" s="88">
        <f t="shared" si="1"/>
        <v>0</v>
      </c>
      <c r="H111" s="82" t="s">
        <v>50</v>
      </c>
      <c r="I111" s="112" t="s">
        <v>51</v>
      </c>
    </row>
    <row r="112" spans="1:9" ht="12.75" x14ac:dyDescent="0.2">
      <c r="A112" s="109">
        <v>87902006</v>
      </c>
      <c r="B112" s="26" t="s">
        <v>14</v>
      </c>
      <c r="C112" s="82" t="s">
        <v>302</v>
      </c>
      <c r="D112" s="28"/>
      <c r="E112" s="88">
        <f t="shared" si="0"/>
        <v>0</v>
      </c>
      <c r="F112" s="90"/>
      <c r="G112" s="88">
        <f t="shared" si="1"/>
        <v>0</v>
      </c>
      <c r="H112" s="82" t="s">
        <v>50</v>
      </c>
      <c r="I112" s="112" t="s">
        <v>51</v>
      </c>
    </row>
    <row r="113" spans="1:9" ht="12.75" x14ac:dyDescent="0.2">
      <c r="A113" s="109">
        <v>87902006</v>
      </c>
      <c r="B113" s="26" t="s">
        <v>14</v>
      </c>
      <c r="C113" s="82" t="s">
        <v>303</v>
      </c>
      <c r="D113" s="28"/>
      <c r="E113" s="88">
        <f t="shared" si="0"/>
        <v>0</v>
      </c>
      <c r="F113" s="90"/>
      <c r="G113" s="88">
        <f t="shared" si="1"/>
        <v>0</v>
      </c>
      <c r="H113" s="82" t="s">
        <v>50</v>
      </c>
      <c r="I113" s="112" t="s">
        <v>51</v>
      </c>
    </row>
    <row r="114" spans="1:9" ht="12.75" x14ac:dyDescent="0.2">
      <c r="A114" s="109">
        <v>87902006</v>
      </c>
      <c r="B114" s="26" t="s">
        <v>14</v>
      </c>
      <c r="C114" s="82" t="s">
        <v>304</v>
      </c>
      <c r="D114" s="28"/>
      <c r="E114" s="88">
        <f t="shared" si="0"/>
        <v>0</v>
      </c>
      <c r="F114" s="90"/>
      <c r="G114" s="88">
        <f t="shared" si="1"/>
        <v>0</v>
      </c>
      <c r="H114" s="82" t="s">
        <v>50</v>
      </c>
      <c r="I114" s="112" t="s">
        <v>51</v>
      </c>
    </row>
    <row r="115" spans="1:9" ht="12.75" x14ac:dyDescent="0.2">
      <c r="A115" s="109">
        <v>87902006</v>
      </c>
      <c r="B115" s="26" t="s">
        <v>14</v>
      </c>
      <c r="C115" s="82" t="s">
        <v>305</v>
      </c>
      <c r="D115" s="28"/>
      <c r="E115" s="88">
        <f t="shared" si="0"/>
        <v>0</v>
      </c>
      <c r="F115" s="90"/>
      <c r="G115" s="88">
        <f t="shared" si="1"/>
        <v>0</v>
      </c>
      <c r="H115" s="82" t="s">
        <v>50</v>
      </c>
      <c r="I115" s="112" t="s">
        <v>51</v>
      </c>
    </row>
    <row r="116" spans="1:9" ht="12.75" x14ac:dyDescent="0.2">
      <c r="A116" s="109">
        <v>87902006</v>
      </c>
      <c r="B116" s="26" t="s">
        <v>14</v>
      </c>
      <c r="C116" s="82" t="s">
        <v>306</v>
      </c>
      <c r="D116" s="28"/>
      <c r="E116" s="88">
        <f t="shared" si="0"/>
        <v>0</v>
      </c>
      <c r="F116" s="90"/>
      <c r="G116" s="88">
        <f t="shared" si="1"/>
        <v>0</v>
      </c>
      <c r="H116" s="82" t="s">
        <v>50</v>
      </c>
      <c r="I116" s="112" t="s">
        <v>51</v>
      </c>
    </row>
    <row r="117" spans="1:9" ht="12.75" x14ac:dyDescent="0.2">
      <c r="A117" s="109">
        <v>87902006</v>
      </c>
      <c r="B117" s="26" t="s">
        <v>14</v>
      </c>
      <c r="C117" s="82" t="s">
        <v>307</v>
      </c>
      <c r="D117" s="28"/>
      <c r="E117" s="88">
        <f t="shared" si="0"/>
        <v>0</v>
      </c>
      <c r="F117" s="90"/>
      <c r="G117" s="88">
        <f t="shared" si="1"/>
        <v>0</v>
      </c>
      <c r="H117" s="82" t="s">
        <v>50</v>
      </c>
      <c r="I117" s="112" t="s">
        <v>51</v>
      </c>
    </row>
    <row r="118" spans="1:9" ht="12.75" x14ac:dyDescent="0.2">
      <c r="A118" s="109">
        <v>87902006</v>
      </c>
      <c r="B118" s="26" t="s">
        <v>14</v>
      </c>
      <c r="C118" s="82" t="s">
        <v>308</v>
      </c>
      <c r="D118" s="28"/>
      <c r="E118" s="88">
        <f t="shared" si="0"/>
        <v>0</v>
      </c>
      <c r="F118" s="90"/>
      <c r="G118" s="88">
        <f t="shared" si="1"/>
        <v>0</v>
      </c>
      <c r="H118" s="82" t="s">
        <v>50</v>
      </c>
      <c r="I118" s="112" t="s">
        <v>51</v>
      </c>
    </row>
    <row r="119" spans="1:9" ht="12.75" x14ac:dyDescent="0.2">
      <c r="A119" s="109">
        <v>87902006</v>
      </c>
      <c r="B119" s="26" t="s">
        <v>14</v>
      </c>
      <c r="C119" s="82" t="s">
        <v>309</v>
      </c>
      <c r="D119" s="28"/>
      <c r="E119" s="88">
        <f t="shared" si="0"/>
        <v>0</v>
      </c>
      <c r="F119" s="90"/>
      <c r="G119" s="88">
        <f t="shared" si="1"/>
        <v>0</v>
      </c>
      <c r="H119" s="82" t="s">
        <v>50</v>
      </c>
      <c r="I119" s="112" t="s">
        <v>51</v>
      </c>
    </row>
    <row r="120" spans="1:9" ht="12.75" x14ac:dyDescent="0.2">
      <c r="A120" s="109">
        <v>87902006</v>
      </c>
      <c r="B120" s="26" t="s">
        <v>14</v>
      </c>
      <c r="C120" s="82" t="s">
        <v>310</v>
      </c>
      <c r="D120" s="28"/>
      <c r="E120" s="88">
        <f t="shared" si="0"/>
        <v>0</v>
      </c>
      <c r="F120" s="90"/>
      <c r="G120" s="88">
        <f t="shared" si="1"/>
        <v>0</v>
      </c>
      <c r="H120" s="82" t="s">
        <v>50</v>
      </c>
      <c r="I120" s="112" t="s">
        <v>51</v>
      </c>
    </row>
    <row r="121" spans="1:9" ht="12.75" x14ac:dyDescent="0.2">
      <c r="A121" s="109">
        <v>87902006</v>
      </c>
      <c r="B121" s="26" t="s">
        <v>14</v>
      </c>
      <c r="C121" s="82" t="s">
        <v>311</v>
      </c>
      <c r="D121" s="28"/>
      <c r="E121" s="88">
        <f t="shared" si="0"/>
        <v>0</v>
      </c>
      <c r="F121" s="90"/>
      <c r="G121" s="88">
        <f t="shared" si="1"/>
        <v>0</v>
      </c>
      <c r="H121" s="82" t="s">
        <v>50</v>
      </c>
      <c r="I121" s="112" t="s">
        <v>51</v>
      </c>
    </row>
    <row r="122" spans="1:9" ht="12.75" x14ac:dyDescent="0.2">
      <c r="A122" s="116">
        <v>87902006</v>
      </c>
      <c r="B122" s="118" t="s">
        <v>14</v>
      </c>
      <c r="C122" s="21" t="s">
        <v>312</v>
      </c>
      <c r="D122" s="101"/>
      <c r="E122" s="103">
        <f t="shared" si="0"/>
        <v>0</v>
      </c>
      <c r="F122" s="24"/>
      <c r="G122" s="103">
        <f t="shared" si="1"/>
        <v>0</v>
      </c>
      <c r="H122" s="21" t="s">
        <v>50</v>
      </c>
      <c r="I122" s="120" t="s">
        <v>51</v>
      </c>
    </row>
    <row r="123" spans="1:9" ht="12.75" x14ac:dyDescent="0.2">
      <c r="A123" s="44">
        <v>165872006</v>
      </c>
      <c r="B123" s="13" t="s">
        <v>14</v>
      </c>
      <c r="C123" s="14" t="s">
        <v>313</v>
      </c>
      <c r="D123" s="100"/>
      <c r="E123" s="46">
        <f t="shared" si="0"/>
        <v>0</v>
      </c>
      <c r="F123" s="17"/>
      <c r="G123" s="48">
        <f t="shared" si="1"/>
        <v>0</v>
      </c>
      <c r="H123" s="14" t="s">
        <v>52</v>
      </c>
      <c r="I123" s="49" t="s">
        <v>51</v>
      </c>
    </row>
    <row r="124" spans="1:9" ht="12.75" x14ac:dyDescent="0.2">
      <c r="A124" s="109">
        <v>165872006</v>
      </c>
      <c r="B124" s="26" t="s">
        <v>14</v>
      </c>
      <c r="C124" s="82" t="s">
        <v>314</v>
      </c>
      <c r="D124" s="28"/>
      <c r="E124" s="88">
        <f t="shared" si="0"/>
        <v>0</v>
      </c>
      <c r="F124" s="90"/>
      <c r="G124" s="92">
        <f t="shared" si="1"/>
        <v>0</v>
      </c>
      <c r="H124" s="82" t="s">
        <v>315</v>
      </c>
      <c r="I124" s="112" t="s">
        <v>51</v>
      </c>
    </row>
    <row r="125" spans="1:9" ht="12.75" x14ac:dyDescent="0.2">
      <c r="A125" s="109">
        <v>165872006</v>
      </c>
      <c r="B125" s="26" t="s">
        <v>14</v>
      </c>
      <c r="C125" s="82" t="s">
        <v>316</v>
      </c>
      <c r="D125" s="28"/>
      <c r="E125" s="88">
        <f t="shared" si="0"/>
        <v>0</v>
      </c>
      <c r="F125" s="90"/>
      <c r="G125" s="92">
        <f t="shared" si="1"/>
        <v>0</v>
      </c>
      <c r="H125" s="82" t="s">
        <v>315</v>
      </c>
      <c r="I125" s="112" t="s">
        <v>51</v>
      </c>
    </row>
    <row r="126" spans="1:9" ht="12.75" x14ac:dyDescent="0.2">
      <c r="A126" s="109">
        <v>165872006</v>
      </c>
      <c r="B126" s="26" t="s">
        <v>14</v>
      </c>
      <c r="C126" s="82" t="s">
        <v>317</v>
      </c>
      <c r="D126" s="28"/>
      <c r="E126" s="88">
        <f t="shared" si="0"/>
        <v>0</v>
      </c>
      <c r="F126" s="90"/>
      <c r="G126" s="92">
        <f t="shared" si="1"/>
        <v>0</v>
      </c>
      <c r="H126" s="82" t="s">
        <v>52</v>
      </c>
      <c r="I126" s="112" t="s">
        <v>51</v>
      </c>
    </row>
    <row r="127" spans="1:9" ht="12.75" x14ac:dyDescent="0.2">
      <c r="A127" s="109">
        <v>165872006</v>
      </c>
      <c r="B127" s="26" t="s">
        <v>14</v>
      </c>
      <c r="C127" s="82" t="s">
        <v>318</v>
      </c>
      <c r="D127" s="28"/>
      <c r="E127" s="88">
        <f t="shared" si="0"/>
        <v>0</v>
      </c>
      <c r="F127" s="90"/>
      <c r="G127" s="92">
        <f t="shared" si="1"/>
        <v>0</v>
      </c>
      <c r="H127" s="82" t="s">
        <v>52</v>
      </c>
      <c r="I127" s="112" t="s">
        <v>51</v>
      </c>
    </row>
    <row r="128" spans="1:9" ht="12.75" x14ac:dyDescent="0.2">
      <c r="A128" s="109">
        <v>165872006</v>
      </c>
      <c r="B128" s="26" t="s">
        <v>14</v>
      </c>
      <c r="C128" s="82" t="s">
        <v>319</v>
      </c>
      <c r="D128" s="28"/>
      <c r="E128" s="88">
        <f t="shared" si="0"/>
        <v>0</v>
      </c>
      <c r="F128" s="90"/>
      <c r="G128" s="92">
        <f t="shared" si="1"/>
        <v>0</v>
      </c>
      <c r="H128" s="82" t="s">
        <v>52</v>
      </c>
      <c r="I128" s="112" t="s">
        <v>51</v>
      </c>
    </row>
    <row r="129" spans="1:9" ht="12.75" x14ac:dyDescent="0.2">
      <c r="A129" s="109">
        <v>165872006</v>
      </c>
      <c r="B129" s="26" t="s">
        <v>14</v>
      </c>
      <c r="C129" s="82" t="s">
        <v>320</v>
      </c>
      <c r="D129" s="28"/>
      <c r="E129" s="88">
        <f t="shared" si="0"/>
        <v>0</v>
      </c>
      <c r="F129" s="90"/>
      <c r="G129" s="92">
        <f t="shared" si="1"/>
        <v>0</v>
      </c>
      <c r="H129" s="82" t="s">
        <v>315</v>
      </c>
      <c r="I129" s="112" t="s">
        <v>51</v>
      </c>
    </row>
    <row r="130" spans="1:9" ht="12.75" x14ac:dyDescent="0.2">
      <c r="A130" s="109">
        <v>165872006</v>
      </c>
      <c r="B130" s="26" t="s">
        <v>14</v>
      </c>
      <c r="C130" s="82" t="s">
        <v>321</v>
      </c>
      <c r="D130" s="28"/>
      <c r="E130" s="88">
        <f t="shared" si="0"/>
        <v>0</v>
      </c>
      <c r="F130" s="90"/>
      <c r="G130" s="92">
        <f t="shared" si="1"/>
        <v>0</v>
      </c>
      <c r="H130" s="82" t="s">
        <v>52</v>
      </c>
      <c r="I130" s="112" t="s">
        <v>51</v>
      </c>
    </row>
    <row r="131" spans="1:9" ht="12.75" x14ac:dyDescent="0.2">
      <c r="A131" s="116">
        <v>165872006</v>
      </c>
      <c r="B131" s="118" t="s">
        <v>14</v>
      </c>
      <c r="C131" s="21" t="s">
        <v>322</v>
      </c>
      <c r="D131" s="101"/>
      <c r="E131" s="103">
        <f t="shared" si="0"/>
        <v>0</v>
      </c>
      <c r="F131" s="24"/>
      <c r="G131" s="105">
        <f t="shared" si="1"/>
        <v>0</v>
      </c>
      <c r="H131" s="21" t="s">
        <v>52</v>
      </c>
      <c r="I131" s="120" t="s">
        <v>51</v>
      </c>
    </row>
    <row r="132" spans="1:9" ht="12.75" x14ac:dyDescent="0.2">
      <c r="A132" s="44">
        <v>140292009</v>
      </c>
      <c r="B132" s="13" t="s">
        <v>14</v>
      </c>
      <c r="C132" s="14" t="s">
        <v>323</v>
      </c>
      <c r="D132" s="15">
        <v>1960.05</v>
      </c>
      <c r="E132" s="46">
        <f t="shared" si="0"/>
        <v>178.18636363636364</v>
      </c>
      <c r="F132" s="17">
        <v>0.1</v>
      </c>
      <c r="G132" s="46">
        <f t="shared" si="1"/>
        <v>178.18636363636369</v>
      </c>
      <c r="H132" s="14" t="s">
        <v>324</v>
      </c>
      <c r="I132" s="49" t="s">
        <v>51</v>
      </c>
    </row>
    <row r="133" spans="1:9" ht="12.75" x14ac:dyDescent="0.2">
      <c r="A133" s="109">
        <v>140292009</v>
      </c>
      <c r="B133" s="26" t="s">
        <v>14</v>
      </c>
      <c r="C133" s="82" t="s">
        <v>325</v>
      </c>
      <c r="D133" s="134">
        <v>2110.39</v>
      </c>
      <c r="E133" s="88">
        <f t="shared" si="0"/>
        <v>191.85363636363635</v>
      </c>
      <c r="F133" s="90">
        <v>0.1</v>
      </c>
      <c r="G133" s="88">
        <f t="shared" si="1"/>
        <v>191.8536363636365</v>
      </c>
      <c r="H133" s="82" t="s">
        <v>324</v>
      </c>
      <c r="I133" s="112" t="s">
        <v>51</v>
      </c>
    </row>
    <row r="134" spans="1:9" ht="12.75" x14ac:dyDescent="0.2">
      <c r="A134" s="109">
        <v>140292009</v>
      </c>
      <c r="B134" s="26" t="s">
        <v>14</v>
      </c>
      <c r="C134" s="82" t="s">
        <v>326</v>
      </c>
      <c r="D134" s="134">
        <v>894.27</v>
      </c>
      <c r="E134" s="88">
        <f t="shared" si="0"/>
        <v>81.297272727272727</v>
      </c>
      <c r="F134" s="90">
        <v>0.1</v>
      </c>
      <c r="G134" s="88">
        <f t="shared" si="1"/>
        <v>81.297272727272798</v>
      </c>
      <c r="H134" s="82" t="s">
        <v>324</v>
      </c>
      <c r="I134" s="112" t="s">
        <v>51</v>
      </c>
    </row>
    <row r="135" spans="1:9" ht="12.75" x14ac:dyDescent="0.2">
      <c r="A135" s="109">
        <v>140292009</v>
      </c>
      <c r="B135" s="26" t="s">
        <v>14</v>
      </c>
      <c r="C135" s="82" t="s">
        <v>327</v>
      </c>
      <c r="D135" s="134">
        <v>1131.1400000000001</v>
      </c>
      <c r="E135" s="88">
        <f t="shared" si="0"/>
        <v>102.83090909090909</v>
      </c>
      <c r="F135" s="90">
        <v>0.1</v>
      </c>
      <c r="G135" s="88">
        <f t="shared" si="1"/>
        <v>102.83090909090924</v>
      </c>
      <c r="H135" s="82" t="s">
        <v>324</v>
      </c>
      <c r="I135" s="112" t="s">
        <v>51</v>
      </c>
    </row>
    <row r="136" spans="1:9" ht="12.75" x14ac:dyDescent="0.2">
      <c r="A136" s="109">
        <v>140292009</v>
      </c>
      <c r="B136" s="26" t="s">
        <v>14</v>
      </c>
      <c r="C136" s="82" t="s">
        <v>328</v>
      </c>
      <c r="D136" s="134">
        <v>1950.22</v>
      </c>
      <c r="E136" s="88">
        <f t="shared" si="0"/>
        <v>177.29272727272726</v>
      </c>
      <c r="F136" s="90">
        <v>0.1</v>
      </c>
      <c r="G136" s="88">
        <f t="shared" si="1"/>
        <v>177.29272727272746</v>
      </c>
      <c r="H136" s="82" t="s">
        <v>324</v>
      </c>
      <c r="I136" s="112" t="s">
        <v>51</v>
      </c>
    </row>
    <row r="137" spans="1:9" ht="12.75" x14ac:dyDescent="0.2">
      <c r="A137" s="109">
        <v>140292009</v>
      </c>
      <c r="B137" s="26" t="s">
        <v>14</v>
      </c>
      <c r="C137" s="82" t="s">
        <v>329</v>
      </c>
      <c r="D137" s="134">
        <v>4161.57</v>
      </c>
      <c r="E137" s="88">
        <f t="shared" si="0"/>
        <v>378.32454545454539</v>
      </c>
      <c r="F137" s="90">
        <v>0.1</v>
      </c>
      <c r="G137" s="88">
        <f t="shared" si="1"/>
        <v>378.32454545454584</v>
      </c>
      <c r="H137" s="82" t="s">
        <v>324</v>
      </c>
      <c r="I137" s="112" t="s">
        <v>51</v>
      </c>
    </row>
    <row r="138" spans="1:9" ht="12.75" x14ac:dyDescent="0.2">
      <c r="A138" s="109">
        <v>140292009</v>
      </c>
      <c r="B138" s="26" t="s">
        <v>14</v>
      </c>
      <c r="C138" s="82" t="s">
        <v>330</v>
      </c>
      <c r="D138" s="134">
        <v>1052.7</v>
      </c>
      <c r="E138" s="88">
        <f t="shared" si="0"/>
        <v>95.7</v>
      </c>
      <c r="F138" s="90">
        <v>0.1</v>
      </c>
      <c r="G138" s="88">
        <f t="shared" si="1"/>
        <v>95.700000000000045</v>
      </c>
      <c r="H138" s="82" t="s">
        <v>324</v>
      </c>
      <c r="I138" s="112" t="s">
        <v>51</v>
      </c>
    </row>
    <row r="139" spans="1:9" ht="12.75" x14ac:dyDescent="0.2">
      <c r="A139" s="109">
        <v>140292009</v>
      </c>
      <c r="B139" s="26" t="s">
        <v>14</v>
      </c>
      <c r="C139" s="82" t="s">
        <v>331</v>
      </c>
      <c r="D139" s="134">
        <v>975.96</v>
      </c>
      <c r="E139" s="88">
        <f t="shared" si="0"/>
        <v>88.723636363636373</v>
      </c>
      <c r="F139" s="90">
        <v>0.1</v>
      </c>
      <c r="G139" s="88">
        <f t="shared" si="1"/>
        <v>88.723636363636388</v>
      </c>
      <c r="H139" s="82" t="s">
        <v>324</v>
      </c>
      <c r="I139" s="112" t="s">
        <v>51</v>
      </c>
    </row>
    <row r="140" spans="1:9" ht="12.75" x14ac:dyDescent="0.2">
      <c r="A140" s="109">
        <v>140292009</v>
      </c>
      <c r="B140" s="26" t="s">
        <v>14</v>
      </c>
      <c r="C140" s="82" t="s">
        <v>332</v>
      </c>
      <c r="D140" s="134">
        <v>937.43</v>
      </c>
      <c r="E140" s="88">
        <f t="shared" si="0"/>
        <v>85.220909090909089</v>
      </c>
      <c r="F140" s="90">
        <v>0.1</v>
      </c>
      <c r="G140" s="88">
        <f t="shared" si="1"/>
        <v>85.220909090909117</v>
      </c>
      <c r="H140" s="82" t="s">
        <v>324</v>
      </c>
      <c r="I140" s="112" t="s">
        <v>51</v>
      </c>
    </row>
    <row r="141" spans="1:9" ht="12.75" x14ac:dyDescent="0.2">
      <c r="A141" s="109">
        <v>140292009</v>
      </c>
      <c r="B141" s="26" t="s">
        <v>14</v>
      </c>
      <c r="C141" s="82" t="s">
        <v>333</v>
      </c>
      <c r="D141" s="134">
        <v>1090.2</v>
      </c>
      <c r="E141" s="88">
        <f t="shared" si="0"/>
        <v>99.109090909090909</v>
      </c>
      <c r="F141" s="90">
        <v>0.1</v>
      </c>
      <c r="G141" s="88">
        <f t="shared" si="1"/>
        <v>99.109090909091037</v>
      </c>
      <c r="H141" s="82" t="s">
        <v>324</v>
      </c>
      <c r="I141" s="112" t="s">
        <v>51</v>
      </c>
    </row>
    <row r="142" spans="1:9" ht="12.75" x14ac:dyDescent="0.2">
      <c r="A142" s="109">
        <v>140292009</v>
      </c>
      <c r="B142" s="26" t="s">
        <v>14</v>
      </c>
      <c r="C142" s="82" t="s">
        <v>334</v>
      </c>
      <c r="D142" s="134">
        <v>884.58</v>
      </c>
      <c r="E142" s="88">
        <f t="shared" si="0"/>
        <v>80.416363636363641</v>
      </c>
      <c r="F142" s="90">
        <v>0.1</v>
      </c>
      <c r="G142" s="88">
        <f t="shared" si="1"/>
        <v>80.416363636363712</v>
      </c>
      <c r="H142" s="82" t="s">
        <v>324</v>
      </c>
      <c r="I142" s="112" t="s">
        <v>51</v>
      </c>
    </row>
    <row r="143" spans="1:9" ht="12.75" x14ac:dyDescent="0.2">
      <c r="A143" s="109">
        <v>140292009</v>
      </c>
      <c r="B143" s="26" t="s">
        <v>14</v>
      </c>
      <c r="C143" s="82" t="s">
        <v>335</v>
      </c>
      <c r="D143" s="134">
        <v>4533.7</v>
      </c>
      <c r="E143" s="88">
        <f t="shared" si="0"/>
        <v>412.15454545454543</v>
      </c>
      <c r="F143" s="90">
        <v>0.1</v>
      </c>
      <c r="G143" s="88">
        <f t="shared" si="1"/>
        <v>412.15454545454577</v>
      </c>
      <c r="H143" s="82" t="s">
        <v>324</v>
      </c>
      <c r="I143" s="112" t="s">
        <v>51</v>
      </c>
    </row>
    <row r="144" spans="1:9" ht="12.75" x14ac:dyDescent="0.2">
      <c r="A144" s="109">
        <v>140292009</v>
      </c>
      <c r="B144" s="26" t="s">
        <v>14</v>
      </c>
      <c r="C144" s="82" t="s">
        <v>336</v>
      </c>
      <c r="D144" s="134">
        <v>3510.14</v>
      </c>
      <c r="E144" s="88">
        <f t="shared" si="0"/>
        <v>319.10363636363633</v>
      </c>
      <c r="F144" s="90">
        <v>0.1</v>
      </c>
      <c r="G144" s="88">
        <f t="shared" si="1"/>
        <v>319.10363636363672</v>
      </c>
      <c r="H144" s="82" t="s">
        <v>324</v>
      </c>
      <c r="I144" s="112" t="s">
        <v>51</v>
      </c>
    </row>
    <row r="145" spans="1:9" ht="12.75" x14ac:dyDescent="0.2">
      <c r="A145" s="109">
        <v>140292009</v>
      </c>
      <c r="B145" s="26" t="s">
        <v>14</v>
      </c>
      <c r="C145" s="82" t="s">
        <v>337</v>
      </c>
      <c r="D145" s="134">
        <v>3798.88</v>
      </c>
      <c r="E145" s="88">
        <f t="shared" si="0"/>
        <v>345.35272727272729</v>
      </c>
      <c r="F145" s="90">
        <v>0.1</v>
      </c>
      <c r="G145" s="88">
        <f t="shared" si="1"/>
        <v>345.35272727272741</v>
      </c>
      <c r="H145" s="82" t="s">
        <v>324</v>
      </c>
      <c r="I145" s="112" t="s">
        <v>51</v>
      </c>
    </row>
    <row r="146" spans="1:9" ht="12.75" x14ac:dyDescent="0.2">
      <c r="A146" s="116">
        <v>140292009</v>
      </c>
      <c r="B146" s="118" t="s">
        <v>14</v>
      </c>
      <c r="C146" s="21" t="s">
        <v>338</v>
      </c>
      <c r="D146" s="22">
        <v>7160.14</v>
      </c>
      <c r="E146" s="103">
        <f t="shared" si="0"/>
        <v>650.92181818181825</v>
      </c>
      <c r="F146" s="24">
        <v>0.1</v>
      </c>
      <c r="G146" s="103">
        <f t="shared" si="1"/>
        <v>650.92181818181871</v>
      </c>
      <c r="H146" s="21" t="s">
        <v>324</v>
      </c>
      <c r="I146" s="120" t="s">
        <v>51</v>
      </c>
    </row>
    <row r="147" spans="1:9" ht="12.75" x14ac:dyDescent="0.2">
      <c r="A147" s="44">
        <v>60142008</v>
      </c>
      <c r="B147" s="13" t="s">
        <v>14</v>
      </c>
      <c r="C147" s="14" t="s">
        <v>339</v>
      </c>
      <c r="D147" s="100"/>
      <c r="E147" s="46">
        <f t="shared" si="0"/>
        <v>0</v>
      </c>
      <c r="F147" s="17"/>
      <c r="G147" s="46">
        <f t="shared" si="1"/>
        <v>0</v>
      </c>
      <c r="H147" s="14" t="s">
        <v>50</v>
      </c>
      <c r="I147" s="49" t="s">
        <v>51</v>
      </c>
    </row>
    <row r="148" spans="1:9" ht="12.75" x14ac:dyDescent="0.2">
      <c r="A148" s="109">
        <v>60142008</v>
      </c>
      <c r="B148" s="26" t="s">
        <v>14</v>
      </c>
      <c r="C148" s="82" t="s">
        <v>340</v>
      </c>
      <c r="D148" s="28"/>
      <c r="E148" s="88">
        <f t="shared" si="0"/>
        <v>0</v>
      </c>
      <c r="F148" s="90"/>
      <c r="G148" s="88">
        <f t="shared" si="1"/>
        <v>0</v>
      </c>
      <c r="H148" s="82" t="s">
        <v>50</v>
      </c>
      <c r="I148" s="112" t="s">
        <v>51</v>
      </c>
    </row>
    <row r="149" spans="1:9" ht="12.75" x14ac:dyDescent="0.2">
      <c r="A149" s="109">
        <v>60142008</v>
      </c>
      <c r="B149" s="26" t="s">
        <v>14</v>
      </c>
      <c r="C149" s="82" t="s">
        <v>341</v>
      </c>
      <c r="D149" s="28"/>
      <c r="E149" s="88">
        <f t="shared" si="0"/>
        <v>0</v>
      </c>
      <c r="F149" s="90"/>
      <c r="G149" s="88">
        <f t="shared" si="1"/>
        <v>0</v>
      </c>
      <c r="H149" s="82" t="s">
        <v>50</v>
      </c>
      <c r="I149" s="112" t="s">
        <v>51</v>
      </c>
    </row>
    <row r="150" spans="1:9" ht="12.75" x14ac:dyDescent="0.2">
      <c r="A150" s="109">
        <v>60142008</v>
      </c>
      <c r="B150" s="26" t="s">
        <v>14</v>
      </c>
      <c r="C150" s="82" t="s">
        <v>342</v>
      </c>
      <c r="D150" s="28"/>
      <c r="E150" s="88">
        <f t="shared" si="0"/>
        <v>0</v>
      </c>
      <c r="F150" s="90"/>
      <c r="G150" s="88">
        <f t="shared" si="1"/>
        <v>0</v>
      </c>
      <c r="H150" s="82" t="s">
        <v>50</v>
      </c>
      <c r="I150" s="112" t="s">
        <v>51</v>
      </c>
    </row>
    <row r="151" spans="1:9" ht="12.75" x14ac:dyDescent="0.2">
      <c r="A151" s="109">
        <v>60142008</v>
      </c>
      <c r="B151" s="26" t="s">
        <v>14</v>
      </c>
      <c r="C151" s="82" t="s">
        <v>343</v>
      </c>
      <c r="D151" s="28"/>
      <c r="E151" s="88">
        <f t="shared" si="0"/>
        <v>0</v>
      </c>
      <c r="F151" s="90"/>
      <c r="G151" s="88">
        <f t="shared" si="1"/>
        <v>0</v>
      </c>
      <c r="H151" s="82" t="s">
        <v>50</v>
      </c>
      <c r="I151" s="112" t="s">
        <v>51</v>
      </c>
    </row>
    <row r="152" spans="1:9" ht="12.75" x14ac:dyDescent="0.2">
      <c r="A152" s="109">
        <v>60142008</v>
      </c>
      <c r="B152" s="26" t="s">
        <v>14</v>
      </c>
      <c r="C152" s="82" t="s">
        <v>344</v>
      </c>
      <c r="D152" s="28"/>
      <c r="E152" s="88">
        <f t="shared" si="0"/>
        <v>0</v>
      </c>
      <c r="F152" s="90"/>
      <c r="G152" s="88">
        <f t="shared" si="1"/>
        <v>0</v>
      </c>
      <c r="H152" s="82" t="s">
        <v>50</v>
      </c>
      <c r="I152" s="112" t="s">
        <v>51</v>
      </c>
    </row>
    <row r="153" spans="1:9" ht="12.75" x14ac:dyDescent="0.2">
      <c r="A153" s="109">
        <v>60142008</v>
      </c>
      <c r="B153" s="26" t="s">
        <v>14</v>
      </c>
      <c r="C153" s="82" t="s">
        <v>345</v>
      </c>
      <c r="D153" s="28"/>
      <c r="E153" s="88">
        <f t="shared" si="0"/>
        <v>0</v>
      </c>
      <c r="F153" s="90"/>
      <c r="G153" s="88">
        <f t="shared" si="1"/>
        <v>0</v>
      </c>
      <c r="H153" s="82" t="s">
        <v>50</v>
      </c>
      <c r="I153" s="112" t="s">
        <v>51</v>
      </c>
    </row>
    <row r="154" spans="1:9" ht="12.75" x14ac:dyDescent="0.2">
      <c r="A154" s="109">
        <v>60142008</v>
      </c>
      <c r="B154" s="26" t="s">
        <v>14</v>
      </c>
      <c r="C154" s="82" t="s">
        <v>346</v>
      </c>
      <c r="D154" s="28"/>
      <c r="E154" s="88">
        <f t="shared" si="0"/>
        <v>0</v>
      </c>
      <c r="F154" s="90"/>
      <c r="G154" s="88">
        <f t="shared" si="1"/>
        <v>0</v>
      </c>
      <c r="H154" s="82" t="s">
        <v>50</v>
      </c>
      <c r="I154" s="112" t="s">
        <v>51</v>
      </c>
    </row>
    <row r="155" spans="1:9" ht="12.75" x14ac:dyDescent="0.2">
      <c r="A155" s="109">
        <v>60142008</v>
      </c>
      <c r="B155" s="26" t="s">
        <v>14</v>
      </c>
      <c r="C155" s="82" t="s">
        <v>347</v>
      </c>
      <c r="D155" s="28"/>
      <c r="E155" s="88">
        <f t="shared" si="0"/>
        <v>0</v>
      </c>
      <c r="F155" s="90"/>
      <c r="G155" s="88">
        <f t="shared" si="1"/>
        <v>0</v>
      </c>
      <c r="H155" s="82" t="s">
        <v>50</v>
      </c>
      <c r="I155" s="112" t="s">
        <v>51</v>
      </c>
    </row>
    <row r="156" spans="1:9" ht="12.75" x14ac:dyDescent="0.2">
      <c r="A156" s="116">
        <v>60142008</v>
      </c>
      <c r="B156" s="118" t="s">
        <v>14</v>
      </c>
      <c r="C156" s="21" t="s">
        <v>348</v>
      </c>
      <c r="D156" s="101"/>
      <c r="E156" s="103">
        <f t="shared" si="0"/>
        <v>0</v>
      </c>
      <c r="F156" s="24"/>
      <c r="G156" s="103">
        <f t="shared" si="1"/>
        <v>0</v>
      </c>
      <c r="H156" s="21" t="s">
        <v>50</v>
      </c>
      <c r="I156" s="120" t="s">
        <v>51</v>
      </c>
    </row>
    <row r="157" spans="1:9" ht="12.75" x14ac:dyDescent="0.2">
      <c r="A157" s="145">
        <v>150732002</v>
      </c>
      <c r="B157" s="6" t="s">
        <v>13</v>
      </c>
      <c r="C157" s="146" t="s">
        <v>349</v>
      </c>
      <c r="D157" s="8">
        <v>6729.08</v>
      </c>
      <c r="E157" s="113">
        <f t="shared" si="0"/>
        <v>611.73454545454547</v>
      </c>
      <c r="F157" s="10">
        <v>0.1</v>
      </c>
      <c r="G157" s="113">
        <f t="shared" si="1"/>
        <v>611.7345454545457</v>
      </c>
      <c r="H157" s="7" t="s">
        <v>88</v>
      </c>
      <c r="I157" s="148" t="s">
        <v>51</v>
      </c>
    </row>
    <row r="158" spans="1:9" ht="12.75" x14ac:dyDescent="0.2">
      <c r="A158" s="44">
        <v>21612007</v>
      </c>
      <c r="B158" s="13" t="s">
        <v>14</v>
      </c>
      <c r="C158" s="14" t="s">
        <v>350</v>
      </c>
      <c r="D158" s="100"/>
      <c r="E158" s="46">
        <f t="shared" si="0"/>
        <v>0</v>
      </c>
      <c r="F158" s="17"/>
      <c r="G158" s="46">
        <f t="shared" si="1"/>
        <v>0</v>
      </c>
      <c r="H158" s="14" t="s">
        <v>37</v>
      </c>
      <c r="I158" s="49" t="s">
        <v>51</v>
      </c>
    </row>
    <row r="159" spans="1:9" ht="12.75" x14ac:dyDescent="0.2">
      <c r="A159" s="109">
        <v>21612007</v>
      </c>
      <c r="B159" s="26" t="s">
        <v>14</v>
      </c>
      <c r="C159" s="82" t="s">
        <v>351</v>
      </c>
      <c r="D159" s="28"/>
      <c r="E159" s="88">
        <f t="shared" si="0"/>
        <v>0</v>
      </c>
      <c r="F159" s="90"/>
      <c r="G159" s="88">
        <f t="shared" si="1"/>
        <v>0</v>
      </c>
      <c r="H159" s="82" t="s">
        <v>37</v>
      </c>
      <c r="I159" s="112" t="s">
        <v>51</v>
      </c>
    </row>
    <row r="160" spans="1:9" ht="12.75" x14ac:dyDescent="0.2">
      <c r="A160" s="109">
        <v>21612007</v>
      </c>
      <c r="B160" s="26" t="s">
        <v>14</v>
      </c>
      <c r="C160" s="82" t="s">
        <v>352</v>
      </c>
      <c r="D160" s="28"/>
      <c r="E160" s="88">
        <f t="shared" si="0"/>
        <v>0</v>
      </c>
      <c r="F160" s="90"/>
      <c r="G160" s="88">
        <f t="shared" si="1"/>
        <v>0</v>
      </c>
      <c r="H160" s="82" t="s">
        <v>37</v>
      </c>
      <c r="I160" s="112" t="s">
        <v>51</v>
      </c>
    </row>
    <row r="161" spans="1:9" ht="12.75" x14ac:dyDescent="0.2">
      <c r="A161" s="109">
        <v>21612007</v>
      </c>
      <c r="B161" s="26" t="s">
        <v>14</v>
      </c>
      <c r="C161" s="82" t="s">
        <v>354</v>
      </c>
      <c r="D161" s="28"/>
      <c r="E161" s="88">
        <f t="shared" si="0"/>
        <v>0</v>
      </c>
      <c r="F161" s="90"/>
      <c r="G161" s="88">
        <f t="shared" si="1"/>
        <v>0</v>
      </c>
      <c r="H161" s="82" t="s">
        <v>37</v>
      </c>
      <c r="I161" s="112" t="s">
        <v>51</v>
      </c>
    </row>
    <row r="162" spans="1:9" ht="12.75" x14ac:dyDescent="0.2">
      <c r="A162" s="109">
        <v>21612007</v>
      </c>
      <c r="B162" s="26" t="s">
        <v>14</v>
      </c>
      <c r="C162" s="82" t="s">
        <v>355</v>
      </c>
      <c r="D162" s="28"/>
      <c r="E162" s="88">
        <f t="shared" si="0"/>
        <v>0</v>
      </c>
      <c r="F162" s="90"/>
      <c r="G162" s="88">
        <f t="shared" si="1"/>
        <v>0</v>
      </c>
      <c r="H162" s="82" t="s">
        <v>37</v>
      </c>
      <c r="I162" s="112" t="s">
        <v>51</v>
      </c>
    </row>
    <row r="163" spans="1:9" ht="12.75" x14ac:dyDescent="0.2">
      <c r="A163" s="109">
        <v>21612007</v>
      </c>
      <c r="B163" s="26" t="s">
        <v>14</v>
      </c>
      <c r="C163" s="82" t="s">
        <v>356</v>
      </c>
      <c r="D163" s="28"/>
      <c r="E163" s="88">
        <f t="shared" si="0"/>
        <v>0</v>
      </c>
      <c r="F163" s="90"/>
      <c r="G163" s="88">
        <f t="shared" si="1"/>
        <v>0</v>
      </c>
      <c r="H163" s="82" t="s">
        <v>37</v>
      </c>
      <c r="I163" s="112" t="s">
        <v>51</v>
      </c>
    </row>
    <row r="164" spans="1:9" ht="12.75" x14ac:dyDescent="0.2">
      <c r="A164" s="109">
        <v>21612007</v>
      </c>
      <c r="B164" s="26" t="s">
        <v>14</v>
      </c>
      <c r="C164" s="82" t="s">
        <v>357</v>
      </c>
      <c r="D164" s="28"/>
      <c r="E164" s="88">
        <f t="shared" si="0"/>
        <v>0</v>
      </c>
      <c r="F164" s="90"/>
      <c r="G164" s="88">
        <f t="shared" si="1"/>
        <v>0</v>
      </c>
      <c r="H164" s="82" t="s">
        <v>37</v>
      </c>
      <c r="I164" s="112" t="s">
        <v>51</v>
      </c>
    </row>
    <row r="165" spans="1:9" ht="12.75" x14ac:dyDescent="0.2">
      <c r="A165" s="109">
        <v>21612007</v>
      </c>
      <c r="B165" s="26" t="s">
        <v>14</v>
      </c>
      <c r="C165" s="82" t="s">
        <v>358</v>
      </c>
      <c r="D165" s="28"/>
      <c r="E165" s="88">
        <f t="shared" si="0"/>
        <v>0</v>
      </c>
      <c r="F165" s="90"/>
      <c r="G165" s="88">
        <f t="shared" si="1"/>
        <v>0</v>
      </c>
      <c r="H165" s="82" t="s">
        <v>37</v>
      </c>
      <c r="I165" s="112" t="s">
        <v>51</v>
      </c>
    </row>
    <row r="166" spans="1:9" ht="12.75" x14ac:dyDescent="0.2">
      <c r="A166" s="109">
        <v>21612007</v>
      </c>
      <c r="B166" s="26" t="s">
        <v>14</v>
      </c>
      <c r="C166" s="82" t="s">
        <v>360</v>
      </c>
      <c r="D166" s="28"/>
      <c r="E166" s="88">
        <f t="shared" si="0"/>
        <v>0</v>
      </c>
      <c r="F166" s="90"/>
      <c r="G166" s="88">
        <f t="shared" si="1"/>
        <v>0</v>
      </c>
      <c r="H166" s="82" t="s">
        <v>37</v>
      </c>
      <c r="I166" s="112" t="s">
        <v>51</v>
      </c>
    </row>
    <row r="167" spans="1:9" ht="12.75" x14ac:dyDescent="0.2">
      <c r="A167" s="109">
        <v>21612007</v>
      </c>
      <c r="B167" s="26" t="s">
        <v>14</v>
      </c>
      <c r="C167" s="82" t="s">
        <v>361</v>
      </c>
      <c r="D167" s="28"/>
      <c r="E167" s="88">
        <f t="shared" si="0"/>
        <v>0</v>
      </c>
      <c r="F167" s="90"/>
      <c r="G167" s="88">
        <f t="shared" si="1"/>
        <v>0</v>
      </c>
      <c r="H167" s="82" t="s">
        <v>37</v>
      </c>
      <c r="I167" s="112" t="s">
        <v>51</v>
      </c>
    </row>
    <row r="168" spans="1:9" ht="12.75" x14ac:dyDescent="0.2">
      <c r="A168" s="109">
        <v>21612007</v>
      </c>
      <c r="B168" s="26" t="s">
        <v>14</v>
      </c>
      <c r="C168" s="82" t="s">
        <v>362</v>
      </c>
      <c r="D168" s="28"/>
      <c r="E168" s="88">
        <f t="shared" si="0"/>
        <v>0</v>
      </c>
      <c r="F168" s="90"/>
      <c r="G168" s="88">
        <f t="shared" si="1"/>
        <v>0</v>
      </c>
      <c r="H168" s="82" t="s">
        <v>37</v>
      </c>
      <c r="I168" s="112" t="s">
        <v>51</v>
      </c>
    </row>
    <row r="169" spans="1:9" ht="12.75" x14ac:dyDescent="0.2">
      <c r="A169" s="109">
        <v>21612007</v>
      </c>
      <c r="B169" s="26" t="s">
        <v>14</v>
      </c>
      <c r="C169" s="82" t="s">
        <v>363</v>
      </c>
      <c r="D169" s="28"/>
      <c r="E169" s="88">
        <f t="shared" si="0"/>
        <v>0</v>
      </c>
      <c r="F169" s="90"/>
      <c r="G169" s="88">
        <f t="shared" si="1"/>
        <v>0</v>
      </c>
      <c r="H169" s="82" t="s">
        <v>37</v>
      </c>
      <c r="I169" s="112" t="s">
        <v>51</v>
      </c>
    </row>
    <row r="170" spans="1:9" ht="12.75" x14ac:dyDescent="0.2">
      <c r="A170" s="109">
        <v>21612007</v>
      </c>
      <c r="B170" s="26" t="s">
        <v>14</v>
      </c>
      <c r="C170" s="82" t="s">
        <v>364</v>
      </c>
      <c r="D170" s="28"/>
      <c r="E170" s="88">
        <f t="shared" si="0"/>
        <v>0</v>
      </c>
      <c r="F170" s="90"/>
      <c r="G170" s="88">
        <f t="shared" si="1"/>
        <v>0</v>
      </c>
      <c r="H170" s="82" t="s">
        <v>37</v>
      </c>
      <c r="I170" s="112" t="s">
        <v>51</v>
      </c>
    </row>
    <row r="171" spans="1:9" ht="12.75" x14ac:dyDescent="0.2">
      <c r="A171" s="109">
        <v>21612007</v>
      </c>
      <c r="B171" s="26" t="s">
        <v>14</v>
      </c>
      <c r="C171" s="82" t="s">
        <v>365</v>
      </c>
      <c r="D171" s="28"/>
      <c r="E171" s="88">
        <f t="shared" si="0"/>
        <v>0</v>
      </c>
      <c r="F171" s="90"/>
      <c r="G171" s="88">
        <f t="shared" si="1"/>
        <v>0</v>
      </c>
      <c r="H171" s="82" t="s">
        <v>37</v>
      </c>
      <c r="I171" s="112" t="s">
        <v>51</v>
      </c>
    </row>
    <row r="172" spans="1:9" ht="12.75" x14ac:dyDescent="0.2">
      <c r="A172" s="116">
        <v>21612007</v>
      </c>
      <c r="B172" s="118" t="s">
        <v>14</v>
      </c>
      <c r="C172" s="21" t="s">
        <v>366</v>
      </c>
      <c r="D172" s="101"/>
      <c r="E172" s="103">
        <f t="shared" si="0"/>
        <v>0</v>
      </c>
      <c r="F172" s="24"/>
      <c r="G172" s="103">
        <f t="shared" si="1"/>
        <v>0</v>
      </c>
      <c r="H172" s="21" t="s">
        <v>37</v>
      </c>
      <c r="I172" s="120" t="s">
        <v>51</v>
      </c>
    </row>
    <row r="173" spans="1:9" ht="12.75" x14ac:dyDescent="0.2">
      <c r="A173" s="44">
        <v>183562006</v>
      </c>
      <c r="B173" s="13" t="s">
        <v>14</v>
      </c>
      <c r="C173" s="14" t="s">
        <v>368</v>
      </c>
      <c r="D173" s="100"/>
      <c r="E173" s="46">
        <f t="shared" si="0"/>
        <v>0</v>
      </c>
      <c r="F173" s="17"/>
      <c r="G173" s="46">
        <f t="shared" si="1"/>
        <v>0</v>
      </c>
      <c r="H173" s="14" t="s">
        <v>88</v>
      </c>
      <c r="I173" s="49" t="s">
        <v>51</v>
      </c>
    </row>
    <row r="174" spans="1:9" ht="12.75" x14ac:dyDescent="0.2">
      <c r="A174" s="109">
        <v>183562006</v>
      </c>
      <c r="B174" s="26" t="s">
        <v>14</v>
      </c>
      <c r="C174" s="82" t="s">
        <v>369</v>
      </c>
      <c r="D174" s="28"/>
      <c r="E174" s="88">
        <f t="shared" si="0"/>
        <v>0</v>
      </c>
      <c r="F174" s="90"/>
      <c r="G174" s="88">
        <f t="shared" si="1"/>
        <v>0</v>
      </c>
      <c r="H174" s="82" t="s">
        <v>88</v>
      </c>
      <c r="I174" s="112" t="s">
        <v>51</v>
      </c>
    </row>
    <row r="175" spans="1:9" ht="12.75" x14ac:dyDescent="0.2">
      <c r="A175" s="109">
        <v>183562006</v>
      </c>
      <c r="B175" s="26" t="s">
        <v>14</v>
      </c>
      <c r="C175" s="82" t="s">
        <v>370</v>
      </c>
      <c r="D175" s="28"/>
      <c r="E175" s="88">
        <f t="shared" si="0"/>
        <v>0</v>
      </c>
      <c r="F175" s="90"/>
      <c r="G175" s="88">
        <f t="shared" si="1"/>
        <v>0</v>
      </c>
      <c r="H175" s="82" t="s">
        <v>88</v>
      </c>
      <c r="I175" s="112" t="s">
        <v>51</v>
      </c>
    </row>
    <row r="176" spans="1:9" ht="12.75" x14ac:dyDescent="0.2">
      <c r="A176" s="109">
        <v>183562006</v>
      </c>
      <c r="B176" s="26" t="s">
        <v>14</v>
      </c>
      <c r="C176" s="82" t="s">
        <v>371</v>
      </c>
      <c r="D176" s="28"/>
      <c r="E176" s="88">
        <f t="shared" si="0"/>
        <v>0</v>
      </c>
      <c r="F176" s="90"/>
      <c r="G176" s="88">
        <f t="shared" si="1"/>
        <v>0</v>
      </c>
      <c r="H176" s="82" t="s">
        <v>88</v>
      </c>
      <c r="I176" s="112" t="s">
        <v>51</v>
      </c>
    </row>
    <row r="177" spans="1:9" ht="12.75" x14ac:dyDescent="0.2">
      <c r="A177" s="109">
        <v>183562006</v>
      </c>
      <c r="B177" s="26" t="s">
        <v>14</v>
      </c>
      <c r="C177" s="82" t="s">
        <v>373</v>
      </c>
      <c r="D177" s="28"/>
      <c r="E177" s="88">
        <f t="shared" si="0"/>
        <v>0</v>
      </c>
      <c r="F177" s="90"/>
      <c r="G177" s="88">
        <f t="shared" si="1"/>
        <v>0</v>
      </c>
      <c r="H177" s="82" t="s">
        <v>88</v>
      </c>
      <c r="I177" s="112" t="s">
        <v>51</v>
      </c>
    </row>
    <row r="178" spans="1:9" ht="12.75" x14ac:dyDescent="0.2">
      <c r="A178" s="109">
        <v>183562006</v>
      </c>
      <c r="B178" s="26" t="s">
        <v>14</v>
      </c>
      <c r="C178" s="82" t="s">
        <v>376</v>
      </c>
      <c r="D178" s="28"/>
      <c r="E178" s="88">
        <f t="shared" si="0"/>
        <v>0</v>
      </c>
      <c r="F178" s="90"/>
      <c r="G178" s="88">
        <f t="shared" si="1"/>
        <v>0</v>
      </c>
      <c r="H178" s="82" t="s">
        <v>88</v>
      </c>
      <c r="I178" s="112" t="s">
        <v>51</v>
      </c>
    </row>
    <row r="179" spans="1:9" ht="12.75" x14ac:dyDescent="0.2">
      <c r="A179" s="109">
        <v>183562006</v>
      </c>
      <c r="B179" s="26" t="s">
        <v>14</v>
      </c>
      <c r="C179" s="82" t="s">
        <v>377</v>
      </c>
      <c r="D179" s="28"/>
      <c r="E179" s="88">
        <f t="shared" si="0"/>
        <v>0</v>
      </c>
      <c r="F179" s="90"/>
      <c r="G179" s="88">
        <f t="shared" si="1"/>
        <v>0</v>
      </c>
      <c r="H179" s="82" t="s">
        <v>88</v>
      </c>
      <c r="I179" s="112" t="s">
        <v>51</v>
      </c>
    </row>
    <row r="180" spans="1:9" ht="12.75" x14ac:dyDescent="0.2">
      <c r="A180" s="109">
        <v>183562006</v>
      </c>
      <c r="B180" s="26" t="s">
        <v>14</v>
      </c>
      <c r="C180" s="82" t="s">
        <v>378</v>
      </c>
      <c r="D180" s="28"/>
      <c r="E180" s="88">
        <f t="shared" si="0"/>
        <v>0</v>
      </c>
      <c r="F180" s="90"/>
      <c r="G180" s="88">
        <f t="shared" si="1"/>
        <v>0</v>
      </c>
      <c r="H180" s="82" t="s">
        <v>88</v>
      </c>
      <c r="I180" s="112" t="s">
        <v>51</v>
      </c>
    </row>
    <row r="181" spans="1:9" ht="12.75" x14ac:dyDescent="0.2">
      <c r="A181" s="109">
        <v>183562006</v>
      </c>
      <c r="B181" s="26" t="s">
        <v>14</v>
      </c>
      <c r="C181" s="82" t="s">
        <v>381</v>
      </c>
      <c r="D181" s="28"/>
      <c r="E181" s="88">
        <f t="shared" si="0"/>
        <v>0</v>
      </c>
      <c r="F181" s="90"/>
      <c r="G181" s="88">
        <f t="shared" si="1"/>
        <v>0</v>
      </c>
      <c r="H181" s="82" t="s">
        <v>88</v>
      </c>
      <c r="I181" s="112" t="s">
        <v>51</v>
      </c>
    </row>
    <row r="182" spans="1:9" ht="12.75" x14ac:dyDescent="0.2">
      <c r="A182" s="109">
        <v>183562006</v>
      </c>
      <c r="B182" s="26" t="s">
        <v>14</v>
      </c>
      <c r="C182" s="82" t="s">
        <v>382</v>
      </c>
      <c r="D182" s="28"/>
      <c r="E182" s="88">
        <f t="shared" si="0"/>
        <v>0</v>
      </c>
      <c r="F182" s="90"/>
      <c r="G182" s="88">
        <f t="shared" si="1"/>
        <v>0</v>
      </c>
      <c r="H182" s="82" t="s">
        <v>88</v>
      </c>
      <c r="I182" s="112" t="s">
        <v>51</v>
      </c>
    </row>
    <row r="183" spans="1:9" ht="12.75" x14ac:dyDescent="0.2">
      <c r="A183" s="109">
        <v>183562006</v>
      </c>
      <c r="B183" s="26" t="s">
        <v>14</v>
      </c>
      <c r="C183" s="82" t="s">
        <v>384</v>
      </c>
      <c r="D183" s="28"/>
      <c r="E183" s="88">
        <f t="shared" si="0"/>
        <v>0</v>
      </c>
      <c r="F183" s="90"/>
      <c r="G183" s="88">
        <f t="shared" si="1"/>
        <v>0</v>
      </c>
      <c r="H183" s="82" t="s">
        <v>88</v>
      </c>
      <c r="I183" s="112" t="s">
        <v>51</v>
      </c>
    </row>
    <row r="184" spans="1:9" ht="12.75" x14ac:dyDescent="0.2">
      <c r="A184" s="109">
        <v>183562006</v>
      </c>
      <c r="B184" s="26" t="s">
        <v>14</v>
      </c>
      <c r="C184" s="82" t="s">
        <v>388</v>
      </c>
      <c r="D184" s="28"/>
      <c r="E184" s="88">
        <f t="shared" si="0"/>
        <v>0</v>
      </c>
      <c r="F184" s="90"/>
      <c r="G184" s="88">
        <f t="shared" si="1"/>
        <v>0</v>
      </c>
      <c r="H184" s="82" t="s">
        <v>88</v>
      </c>
      <c r="I184" s="112" t="s">
        <v>51</v>
      </c>
    </row>
    <row r="185" spans="1:9" ht="12.75" x14ac:dyDescent="0.2">
      <c r="A185" s="109">
        <v>183562006</v>
      </c>
      <c r="B185" s="26" t="s">
        <v>14</v>
      </c>
      <c r="C185" s="82" t="s">
        <v>391</v>
      </c>
      <c r="D185" s="28"/>
      <c r="E185" s="88">
        <f t="shared" si="0"/>
        <v>0</v>
      </c>
      <c r="F185" s="90"/>
      <c r="G185" s="88">
        <f t="shared" si="1"/>
        <v>0</v>
      </c>
      <c r="H185" s="82" t="s">
        <v>88</v>
      </c>
      <c r="I185" s="112" t="s">
        <v>51</v>
      </c>
    </row>
    <row r="186" spans="1:9" ht="12.75" x14ac:dyDescent="0.2">
      <c r="A186" s="109">
        <v>183562006</v>
      </c>
      <c r="B186" s="26" t="s">
        <v>14</v>
      </c>
      <c r="C186" s="82" t="s">
        <v>395</v>
      </c>
      <c r="D186" s="28"/>
      <c r="E186" s="88">
        <f t="shared" si="0"/>
        <v>0</v>
      </c>
      <c r="F186" s="90"/>
      <c r="G186" s="88">
        <f t="shared" si="1"/>
        <v>0</v>
      </c>
      <c r="H186" s="82" t="s">
        <v>88</v>
      </c>
      <c r="I186" s="112" t="s">
        <v>51</v>
      </c>
    </row>
    <row r="187" spans="1:9" ht="12.75" x14ac:dyDescent="0.2">
      <c r="A187" s="116">
        <v>183562006</v>
      </c>
      <c r="B187" s="118" t="s">
        <v>14</v>
      </c>
      <c r="C187" s="21" t="s">
        <v>399</v>
      </c>
      <c r="D187" s="101"/>
      <c r="E187" s="103">
        <f t="shared" si="0"/>
        <v>0</v>
      </c>
      <c r="F187" s="24"/>
      <c r="G187" s="103">
        <f t="shared" si="1"/>
        <v>0</v>
      </c>
      <c r="H187" s="21" t="s">
        <v>88</v>
      </c>
      <c r="I187" s="120" t="s">
        <v>51</v>
      </c>
    </row>
    <row r="188" spans="1:9" ht="12.75" x14ac:dyDescent="0.2">
      <c r="A188" s="145">
        <v>58952005</v>
      </c>
      <c r="B188" s="6" t="s">
        <v>14</v>
      </c>
      <c r="C188" s="146" t="s">
        <v>16</v>
      </c>
      <c r="D188" s="147">
        <v>10406.18</v>
      </c>
      <c r="E188" s="113">
        <f t="shared" si="0"/>
        <v>1040.6180000000002</v>
      </c>
      <c r="F188" s="10"/>
      <c r="G188" s="113">
        <f t="shared" si="1"/>
        <v>0</v>
      </c>
      <c r="H188" s="7" t="s">
        <v>275</v>
      </c>
      <c r="I188" s="148" t="s">
        <v>51</v>
      </c>
    </row>
    <row r="189" spans="1:9" ht="12.75" x14ac:dyDescent="0.2">
      <c r="A189" s="44">
        <v>27472005</v>
      </c>
      <c r="B189" s="13" t="s">
        <v>14</v>
      </c>
      <c r="C189" s="14" t="s">
        <v>403</v>
      </c>
      <c r="D189" s="15">
        <v>3476.73</v>
      </c>
      <c r="E189" s="46">
        <f t="shared" si="0"/>
        <v>316.06636363636363</v>
      </c>
      <c r="F189" s="17">
        <v>0.1</v>
      </c>
      <c r="G189" s="46">
        <f t="shared" si="1"/>
        <v>316.0663636363638</v>
      </c>
      <c r="H189" s="14" t="s">
        <v>202</v>
      </c>
      <c r="I189" s="49" t="s">
        <v>51</v>
      </c>
    </row>
    <row r="190" spans="1:9" ht="12.75" x14ac:dyDescent="0.2">
      <c r="A190" s="109">
        <v>27472005</v>
      </c>
      <c r="B190" s="80" t="s">
        <v>14</v>
      </c>
      <c r="C190" s="82" t="s">
        <v>405</v>
      </c>
      <c r="D190" s="134">
        <v>9008.0499999999993</v>
      </c>
      <c r="E190" s="88">
        <f t="shared" si="0"/>
        <v>818.91363636363621</v>
      </c>
      <c r="F190" s="90">
        <v>0.1</v>
      </c>
      <c r="G190" s="88">
        <f t="shared" si="1"/>
        <v>818.91363636363712</v>
      </c>
      <c r="H190" s="82" t="s">
        <v>202</v>
      </c>
      <c r="I190" s="112" t="s">
        <v>51</v>
      </c>
    </row>
    <row r="191" spans="1:9" ht="12.75" x14ac:dyDescent="0.2">
      <c r="A191" s="116">
        <v>27472005</v>
      </c>
      <c r="B191" s="20" t="s">
        <v>14</v>
      </c>
      <c r="C191" s="21" t="s">
        <v>408</v>
      </c>
      <c r="D191" s="22">
        <v>8257.07</v>
      </c>
      <c r="E191" s="103">
        <f t="shared" si="0"/>
        <v>750.64272727272726</v>
      </c>
      <c r="F191" s="24">
        <v>0.1</v>
      </c>
      <c r="G191" s="103">
        <f t="shared" si="1"/>
        <v>750.64272727272783</v>
      </c>
      <c r="H191" s="21" t="s">
        <v>202</v>
      </c>
      <c r="I191" s="120" t="s">
        <v>51</v>
      </c>
    </row>
    <row r="192" spans="1:9" ht="12.75" x14ac:dyDescent="0.2">
      <c r="A192" s="44">
        <v>281542006</v>
      </c>
      <c r="B192" s="13" t="s">
        <v>14</v>
      </c>
      <c r="C192" s="14" t="s">
        <v>410</v>
      </c>
      <c r="D192" s="15">
        <v>2363.06</v>
      </c>
      <c r="E192" s="46">
        <f t="shared" si="0"/>
        <v>236.30600000000001</v>
      </c>
      <c r="F192" s="17">
        <v>0</v>
      </c>
      <c r="G192" s="46">
        <f t="shared" si="1"/>
        <v>0</v>
      </c>
      <c r="H192" s="14" t="s">
        <v>324</v>
      </c>
      <c r="I192" s="49" t="s">
        <v>51</v>
      </c>
    </row>
    <row r="193" spans="1:9" ht="12.75" x14ac:dyDescent="0.2">
      <c r="A193" s="109">
        <v>281542006</v>
      </c>
      <c r="B193" s="26" t="s">
        <v>14</v>
      </c>
      <c r="C193" s="82" t="s">
        <v>413</v>
      </c>
      <c r="D193" s="134">
        <v>2083.52</v>
      </c>
      <c r="E193" s="88">
        <f t="shared" si="0"/>
        <v>208.352</v>
      </c>
      <c r="F193" s="90">
        <v>0</v>
      </c>
      <c r="G193" s="88">
        <f t="shared" si="1"/>
        <v>0</v>
      </c>
      <c r="H193" s="82" t="s">
        <v>324</v>
      </c>
      <c r="I193" s="112" t="s">
        <v>51</v>
      </c>
    </row>
    <row r="194" spans="1:9" ht="12.75" x14ac:dyDescent="0.2">
      <c r="A194" s="109">
        <v>281542006</v>
      </c>
      <c r="B194" s="26" t="s">
        <v>14</v>
      </c>
      <c r="C194" s="82" t="s">
        <v>417</v>
      </c>
      <c r="D194" s="134">
        <v>2171.33</v>
      </c>
      <c r="E194" s="88">
        <f t="shared" si="0"/>
        <v>217.13300000000001</v>
      </c>
      <c r="F194" s="90">
        <v>0</v>
      </c>
      <c r="G194" s="88">
        <f t="shared" si="1"/>
        <v>0</v>
      </c>
      <c r="H194" s="82" t="s">
        <v>324</v>
      </c>
      <c r="I194" s="112" t="s">
        <v>51</v>
      </c>
    </row>
    <row r="195" spans="1:9" ht="12.75" x14ac:dyDescent="0.2">
      <c r="A195" s="109">
        <v>281542006</v>
      </c>
      <c r="B195" s="26" t="s">
        <v>14</v>
      </c>
      <c r="C195" s="82" t="s">
        <v>420</v>
      </c>
      <c r="D195" s="134">
        <v>2453.73</v>
      </c>
      <c r="E195" s="88">
        <f t="shared" si="0"/>
        <v>245.37300000000002</v>
      </c>
      <c r="F195" s="90">
        <v>0</v>
      </c>
      <c r="G195" s="88">
        <f t="shared" si="1"/>
        <v>0</v>
      </c>
      <c r="H195" s="82" t="s">
        <v>324</v>
      </c>
      <c r="I195" s="112" t="s">
        <v>51</v>
      </c>
    </row>
    <row r="196" spans="1:9" ht="12.75" x14ac:dyDescent="0.2">
      <c r="A196" s="109">
        <v>281542006</v>
      </c>
      <c r="B196" s="26" t="s">
        <v>14</v>
      </c>
      <c r="C196" s="82" t="s">
        <v>422</v>
      </c>
      <c r="D196" s="134">
        <v>3098.12</v>
      </c>
      <c r="E196" s="88">
        <f t="shared" si="0"/>
        <v>309.81200000000001</v>
      </c>
      <c r="F196" s="90">
        <v>0</v>
      </c>
      <c r="G196" s="88">
        <f t="shared" si="1"/>
        <v>0</v>
      </c>
      <c r="H196" s="82" t="s">
        <v>324</v>
      </c>
      <c r="I196" s="112" t="s">
        <v>51</v>
      </c>
    </row>
    <row r="197" spans="1:9" ht="12.75" x14ac:dyDescent="0.2">
      <c r="A197" s="109">
        <v>281542006</v>
      </c>
      <c r="B197" s="26" t="s">
        <v>14</v>
      </c>
      <c r="C197" s="82" t="s">
        <v>423</v>
      </c>
      <c r="D197" s="134">
        <v>1079.4000000000001</v>
      </c>
      <c r="E197" s="88">
        <f t="shared" si="0"/>
        <v>107.94000000000001</v>
      </c>
      <c r="F197" s="90">
        <v>0</v>
      </c>
      <c r="G197" s="88">
        <f t="shared" si="1"/>
        <v>0</v>
      </c>
      <c r="H197" s="82" t="s">
        <v>324</v>
      </c>
      <c r="I197" s="112" t="s">
        <v>51</v>
      </c>
    </row>
    <row r="198" spans="1:9" ht="12.75" x14ac:dyDescent="0.2">
      <c r="A198" s="109">
        <v>281542006</v>
      </c>
      <c r="B198" s="26" t="s">
        <v>14</v>
      </c>
      <c r="C198" s="82" t="s">
        <v>424</v>
      </c>
      <c r="D198" s="134">
        <v>2229.56</v>
      </c>
      <c r="E198" s="88">
        <f t="shared" si="0"/>
        <v>222.95600000000002</v>
      </c>
      <c r="F198" s="90">
        <v>0</v>
      </c>
      <c r="G198" s="88">
        <f t="shared" si="1"/>
        <v>0</v>
      </c>
      <c r="H198" s="82" t="s">
        <v>324</v>
      </c>
      <c r="I198" s="112" t="s">
        <v>51</v>
      </c>
    </row>
    <row r="199" spans="1:9" ht="12.75" x14ac:dyDescent="0.2">
      <c r="A199" s="109">
        <v>281542006</v>
      </c>
      <c r="B199" s="26" t="s">
        <v>14</v>
      </c>
      <c r="C199" s="82" t="s">
        <v>426</v>
      </c>
      <c r="D199" s="134">
        <v>2901.19</v>
      </c>
      <c r="E199" s="88">
        <f t="shared" si="0"/>
        <v>290.11900000000003</v>
      </c>
      <c r="F199" s="90">
        <v>0</v>
      </c>
      <c r="G199" s="88">
        <f t="shared" si="1"/>
        <v>0</v>
      </c>
      <c r="H199" s="82" t="s">
        <v>324</v>
      </c>
      <c r="I199" s="112" t="s">
        <v>51</v>
      </c>
    </row>
    <row r="200" spans="1:9" ht="12.75" x14ac:dyDescent="0.2">
      <c r="A200" s="109">
        <v>281542006</v>
      </c>
      <c r="B200" s="26" t="s">
        <v>14</v>
      </c>
      <c r="C200" s="82" t="s">
        <v>430</v>
      </c>
      <c r="D200" s="134">
        <v>2460.34</v>
      </c>
      <c r="E200" s="88">
        <f t="shared" si="0"/>
        <v>246.03400000000002</v>
      </c>
      <c r="F200" s="90">
        <v>0</v>
      </c>
      <c r="G200" s="88">
        <f t="shared" si="1"/>
        <v>0</v>
      </c>
      <c r="H200" s="82" t="s">
        <v>324</v>
      </c>
      <c r="I200" s="112" t="s">
        <v>51</v>
      </c>
    </row>
    <row r="201" spans="1:9" ht="12.75" x14ac:dyDescent="0.2">
      <c r="A201" s="109">
        <v>281542006</v>
      </c>
      <c r="B201" s="26" t="s">
        <v>14</v>
      </c>
      <c r="C201" s="82" t="s">
        <v>433</v>
      </c>
      <c r="D201" s="134">
        <v>1835.38</v>
      </c>
      <c r="E201" s="88">
        <f t="shared" si="0"/>
        <v>183.53800000000001</v>
      </c>
      <c r="F201" s="90">
        <v>0</v>
      </c>
      <c r="G201" s="88">
        <f t="shared" si="1"/>
        <v>0</v>
      </c>
      <c r="H201" s="82" t="s">
        <v>324</v>
      </c>
      <c r="I201" s="112" t="s">
        <v>51</v>
      </c>
    </row>
    <row r="202" spans="1:9" ht="12.75" x14ac:dyDescent="0.2">
      <c r="A202" s="109">
        <v>281542006</v>
      </c>
      <c r="B202" s="26" t="s">
        <v>14</v>
      </c>
      <c r="C202" s="82" t="s">
        <v>437</v>
      </c>
      <c r="D202" s="134">
        <v>2466.1</v>
      </c>
      <c r="E202" s="88">
        <f t="shared" si="0"/>
        <v>246.61</v>
      </c>
      <c r="F202" s="90">
        <v>0</v>
      </c>
      <c r="G202" s="88">
        <f t="shared" si="1"/>
        <v>0</v>
      </c>
      <c r="H202" s="82" t="s">
        <v>324</v>
      </c>
      <c r="I202" s="112" t="s">
        <v>51</v>
      </c>
    </row>
    <row r="203" spans="1:9" ht="12.75" x14ac:dyDescent="0.2">
      <c r="A203" s="109">
        <v>281542006</v>
      </c>
      <c r="B203" s="26" t="s">
        <v>14</v>
      </c>
      <c r="C203" s="82" t="s">
        <v>440</v>
      </c>
      <c r="D203" s="134">
        <v>883.88</v>
      </c>
      <c r="E203" s="88">
        <f t="shared" si="0"/>
        <v>88.388000000000005</v>
      </c>
      <c r="F203" s="90">
        <v>0</v>
      </c>
      <c r="G203" s="88">
        <f t="shared" si="1"/>
        <v>0</v>
      </c>
      <c r="H203" s="82" t="s">
        <v>324</v>
      </c>
      <c r="I203" s="112" t="s">
        <v>51</v>
      </c>
    </row>
    <row r="204" spans="1:9" ht="12.75" x14ac:dyDescent="0.2">
      <c r="A204" s="109">
        <v>281542006</v>
      </c>
      <c r="B204" s="26" t="s">
        <v>14</v>
      </c>
      <c r="C204" s="82" t="s">
        <v>445</v>
      </c>
      <c r="D204" s="134">
        <v>1280.58</v>
      </c>
      <c r="E204" s="88">
        <f t="shared" si="0"/>
        <v>128.05799999999999</v>
      </c>
      <c r="F204" s="90">
        <v>0</v>
      </c>
      <c r="G204" s="88">
        <f t="shared" si="1"/>
        <v>0</v>
      </c>
      <c r="H204" s="82" t="s">
        <v>324</v>
      </c>
      <c r="I204" s="112" t="s">
        <v>51</v>
      </c>
    </row>
    <row r="205" spans="1:9" ht="12.75" x14ac:dyDescent="0.2">
      <c r="A205" s="109">
        <v>281542006</v>
      </c>
      <c r="B205" s="26" t="s">
        <v>14</v>
      </c>
      <c r="C205" s="82" t="s">
        <v>448</v>
      </c>
      <c r="D205" s="134">
        <v>4440.8500000000004</v>
      </c>
      <c r="E205" s="88">
        <f t="shared" si="0"/>
        <v>444.08500000000004</v>
      </c>
      <c r="F205" s="90">
        <v>0</v>
      </c>
      <c r="G205" s="88">
        <f t="shared" si="1"/>
        <v>0</v>
      </c>
      <c r="H205" s="82" t="s">
        <v>324</v>
      </c>
      <c r="I205" s="112" t="s">
        <v>51</v>
      </c>
    </row>
    <row r="206" spans="1:9" ht="12.75" x14ac:dyDescent="0.2">
      <c r="A206" s="116">
        <v>281542006</v>
      </c>
      <c r="B206" s="118" t="s">
        <v>14</v>
      </c>
      <c r="C206" s="21" t="s">
        <v>451</v>
      </c>
      <c r="D206" s="22">
        <v>2806.55</v>
      </c>
      <c r="E206" s="103">
        <f t="shared" si="0"/>
        <v>280.65500000000003</v>
      </c>
      <c r="F206" s="24">
        <v>0</v>
      </c>
      <c r="G206" s="103">
        <f t="shared" si="1"/>
        <v>0</v>
      </c>
      <c r="H206" s="21" t="s">
        <v>324</v>
      </c>
      <c r="I206" s="120" t="s">
        <v>51</v>
      </c>
    </row>
    <row r="207" spans="1:9" ht="12.75" x14ac:dyDescent="0.2">
      <c r="A207" s="44">
        <v>177962006</v>
      </c>
      <c r="B207" s="13" t="s">
        <v>14</v>
      </c>
      <c r="C207" s="14" t="s">
        <v>453</v>
      </c>
      <c r="D207" s="100"/>
      <c r="E207" s="46">
        <f t="shared" si="0"/>
        <v>0</v>
      </c>
      <c r="F207" s="17"/>
      <c r="G207" s="46">
        <f t="shared" si="1"/>
        <v>0</v>
      </c>
      <c r="H207" s="14" t="s">
        <v>52</v>
      </c>
      <c r="I207" s="49" t="s">
        <v>51</v>
      </c>
    </row>
    <row r="208" spans="1:9" ht="12.75" x14ac:dyDescent="0.2">
      <c r="A208" s="109">
        <v>177962006</v>
      </c>
      <c r="B208" s="26" t="s">
        <v>14</v>
      </c>
      <c r="C208" s="82" t="s">
        <v>456</v>
      </c>
      <c r="D208" s="28"/>
      <c r="E208" s="88">
        <f t="shared" si="0"/>
        <v>0</v>
      </c>
      <c r="F208" s="90"/>
      <c r="G208" s="88">
        <f t="shared" si="1"/>
        <v>0</v>
      </c>
      <c r="H208" s="82" t="s">
        <v>52</v>
      </c>
      <c r="I208" s="112" t="s">
        <v>51</v>
      </c>
    </row>
    <row r="209" spans="1:9" ht="12.75" x14ac:dyDescent="0.2">
      <c r="A209" s="109">
        <v>177962006</v>
      </c>
      <c r="B209" s="26" t="s">
        <v>14</v>
      </c>
      <c r="C209" s="82" t="s">
        <v>457</v>
      </c>
      <c r="D209" s="28"/>
      <c r="E209" s="88">
        <f t="shared" si="0"/>
        <v>0</v>
      </c>
      <c r="F209" s="90"/>
      <c r="G209" s="88">
        <f t="shared" si="1"/>
        <v>0</v>
      </c>
      <c r="H209" s="82" t="s">
        <v>52</v>
      </c>
      <c r="I209" s="112" t="s">
        <v>51</v>
      </c>
    </row>
    <row r="210" spans="1:9" ht="12.75" x14ac:dyDescent="0.2">
      <c r="A210" s="109">
        <v>177962006</v>
      </c>
      <c r="B210" s="26" t="s">
        <v>14</v>
      </c>
      <c r="C210" s="82" t="s">
        <v>462</v>
      </c>
      <c r="D210" s="28"/>
      <c r="E210" s="88">
        <f t="shared" si="0"/>
        <v>0</v>
      </c>
      <c r="F210" s="90"/>
      <c r="G210" s="88">
        <f t="shared" si="1"/>
        <v>0</v>
      </c>
      <c r="H210" s="82" t="s">
        <v>52</v>
      </c>
      <c r="I210" s="112" t="s">
        <v>51</v>
      </c>
    </row>
    <row r="211" spans="1:9" ht="12.75" x14ac:dyDescent="0.2">
      <c r="A211" s="109">
        <v>177962006</v>
      </c>
      <c r="B211" s="26" t="s">
        <v>14</v>
      </c>
      <c r="C211" s="82" t="s">
        <v>465</v>
      </c>
      <c r="D211" s="28"/>
      <c r="E211" s="88">
        <f t="shared" si="0"/>
        <v>0</v>
      </c>
      <c r="F211" s="90"/>
      <c r="G211" s="88">
        <f t="shared" si="1"/>
        <v>0</v>
      </c>
      <c r="H211" s="82" t="s">
        <v>52</v>
      </c>
      <c r="I211" s="112" t="s">
        <v>51</v>
      </c>
    </row>
    <row r="212" spans="1:9" ht="12.75" x14ac:dyDescent="0.2">
      <c r="A212" s="109">
        <v>177962006</v>
      </c>
      <c r="B212" s="26" t="s">
        <v>14</v>
      </c>
      <c r="C212" s="82" t="s">
        <v>469</v>
      </c>
      <c r="D212" s="28"/>
      <c r="E212" s="88">
        <f t="shared" si="0"/>
        <v>0</v>
      </c>
      <c r="F212" s="90"/>
      <c r="G212" s="88">
        <f t="shared" si="1"/>
        <v>0</v>
      </c>
      <c r="H212" s="82" t="s">
        <v>52</v>
      </c>
      <c r="I212" s="112" t="s">
        <v>51</v>
      </c>
    </row>
    <row r="213" spans="1:9" ht="12.75" x14ac:dyDescent="0.2">
      <c r="A213" s="109">
        <v>177962006</v>
      </c>
      <c r="B213" s="26" t="s">
        <v>14</v>
      </c>
      <c r="C213" s="82" t="s">
        <v>471</v>
      </c>
      <c r="D213" s="28"/>
      <c r="E213" s="88">
        <f t="shared" si="0"/>
        <v>0</v>
      </c>
      <c r="F213" s="90"/>
      <c r="G213" s="88">
        <f t="shared" si="1"/>
        <v>0</v>
      </c>
      <c r="H213" s="82" t="s">
        <v>52</v>
      </c>
      <c r="I213" s="112" t="s">
        <v>51</v>
      </c>
    </row>
    <row r="214" spans="1:9" ht="12.75" x14ac:dyDescent="0.2">
      <c r="A214" s="109">
        <v>177962006</v>
      </c>
      <c r="B214" s="26" t="s">
        <v>14</v>
      </c>
      <c r="C214" s="82" t="s">
        <v>475</v>
      </c>
      <c r="D214" s="28"/>
      <c r="E214" s="88">
        <f t="shared" si="0"/>
        <v>0</v>
      </c>
      <c r="F214" s="90"/>
      <c r="G214" s="88">
        <f t="shared" si="1"/>
        <v>0</v>
      </c>
      <c r="H214" s="82" t="s">
        <v>52</v>
      </c>
      <c r="I214" s="112" t="s">
        <v>51</v>
      </c>
    </row>
    <row r="215" spans="1:9" ht="12.75" x14ac:dyDescent="0.2">
      <c r="A215" s="109">
        <v>177962006</v>
      </c>
      <c r="B215" s="26" t="s">
        <v>14</v>
      </c>
      <c r="C215" s="82" t="s">
        <v>479</v>
      </c>
      <c r="D215" s="28"/>
      <c r="E215" s="88">
        <f t="shared" si="0"/>
        <v>0</v>
      </c>
      <c r="F215" s="90"/>
      <c r="G215" s="88">
        <f t="shared" si="1"/>
        <v>0</v>
      </c>
      <c r="H215" s="82" t="s">
        <v>52</v>
      </c>
      <c r="I215" s="112" t="s">
        <v>51</v>
      </c>
    </row>
    <row r="216" spans="1:9" ht="12.75" x14ac:dyDescent="0.2">
      <c r="A216" s="109">
        <v>177962006</v>
      </c>
      <c r="B216" s="26" t="s">
        <v>14</v>
      </c>
      <c r="C216" s="82" t="s">
        <v>483</v>
      </c>
      <c r="D216" s="28"/>
      <c r="E216" s="88">
        <f t="shared" si="0"/>
        <v>0</v>
      </c>
      <c r="F216" s="90"/>
      <c r="G216" s="88">
        <f t="shared" si="1"/>
        <v>0</v>
      </c>
      <c r="H216" s="82" t="s">
        <v>52</v>
      </c>
      <c r="I216" s="112" t="s">
        <v>51</v>
      </c>
    </row>
    <row r="217" spans="1:9" ht="12.75" x14ac:dyDescent="0.2">
      <c r="A217" s="109">
        <v>177962006</v>
      </c>
      <c r="B217" s="26" t="s">
        <v>14</v>
      </c>
      <c r="C217" s="82" t="s">
        <v>486</v>
      </c>
      <c r="D217" s="28"/>
      <c r="E217" s="88">
        <f t="shared" si="0"/>
        <v>0</v>
      </c>
      <c r="F217" s="90"/>
      <c r="G217" s="88">
        <f t="shared" si="1"/>
        <v>0</v>
      </c>
      <c r="H217" s="82" t="s">
        <v>52</v>
      </c>
      <c r="I217" s="112" t="s">
        <v>51</v>
      </c>
    </row>
    <row r="218" spans="1:9" ht="12.75" x14ac:dyDescent="0.2">
      <c r="A218" s="109">
        <v>177962006</v>
      </c>
      <c r="B218" s="26" t="s">
        <v>14</v>
      </c>
      <c r="C218" s="82" t="s">
        <v>489</v>
      </c>
      <c r="D218" s="28"/>
      <c r="E218" s="88">
        <f t="shared" si="0"/>
        <v>0</v>
      </c>
      <c r="F218" s="90"/>
      <c r="G218" s="88">
        <f t="shared" si="1"/>
        <v>0</v>
      </c>
      <c r="H218" s="82" t="s">
        <v>52</v>
      </c>
      <c r="I218" s="112" t="s">
        <v>51</v>
      </c>
    </row>
    <row r="219" spans="1:9" ht="12.75" x14ac:dyDescent="0.2">
      <c r="A219" s="109">
        <v>177962006</v>
      </c>
      <c r="B219" s="26" t="s">
        <v>14</v>
      </c>
      <c r="C219" s="82" t="s">
        <v>493</v>
      </c>
      <c r="D219" s="28"/>
      <c r="E219" s="88">
        <f t="shared" si="0"/>
        <v>0</v>
      </c>
      <c r="F219" s="90"/>
      <c r="G219" s="88">
        <f t="shared" si="1"/>
        <v>0</v>
      </c>
      <c r="H219" s="82" t="s">
        <v>52</v>
      </c>
      <c r="I219" s="112" t="s">
        <v>51</v>
      </c>
    </row>
    <row r="220" spans="1:9" ht="12.75" x14ac:dyDescent="0.2">
      <c r="A220" s="109">
        <v>177962006</v>
      </c>
      <c r="B220" s="26" t="s">
        <v>14</v>
      </c>
      <c r="C220" s="82" t="s">
        <v>498</v>
      </c>
      <c r="D220" s="28"/>
      <c r="E220" s="88">
        <f t="shared" si="0"/>
        <v>0</v>
      </c>
      <c r="F220" s="90"/>
      <c r="G220" s="88">
        <f t="shared" si="1"/>
        <v>0</v>
      </c>
      <c r="H220" s="82" t="s">
        <v>52</v>
      </c>
      <c r="I220" s="112" t="s">
        <v>51</v>
      </c>
    </row>
    <row r="221" spans="1:9" ht="12.75" x14ac:dyDescent="0.2">
      <c r="A221" s="116">
        <v>177962006</v>
      </c>
      <c r="B221" s="118" t="s">
        <v>14</v>
      </c>
      <c r="C221" s="21" t="s">
        <v>502</v>
      </c>
      <c r="D221" s="101"/>
      <c r="E221" s="103">
        <f t="shared" si="0"/>
        <v>0</v>
      </c>
      <c r="F221" s="24"/>
      <c r="G221" s="103">
        <f t="shared" si="1"/>
        <v>0</v>
      </c>
      <c r="H221" s="21" t="s">
        <v>52</v>
      </c>
      <c r="I221" s="120" t="s">
        <v>51</v>
      </c>
    </row>
    <row r="222" spans="1:9" ht="12.75" x14ac:dyDescent="0.2">
      <c r="A222" s="44">
        <v>48142005</v>
      </c>
      <c r="B222" s="13" t="s">
        <v>14</v>
      </c>
      <c r="C222" s="14" t="s">
        <v>505</v>
      </c>
      <c r="D222" s="100"/>
      <c r="E222" s="46">
        <f t="shared" si="0"/>
        <v>0</v>
      </c>
      <c r="F222" s="17"/>
      <c r="G222" s="46">
        <f t="shared" si="1"/>
        <v>0</v>
      </c>
      <c r="H222" s="14" t="s">
        <v>52</v>
      </c>
      <c r="I222" s="49" t="s">
        <v>51</v>
      </c>
    </row>
    <row r="223" spans="1:9" ht="12.75" x14ac:dyDescent="0.2">
      <c r="A223" s="109">
        <v>48142005</v>
      </c>
      <c r="B223" s="26" t="s">
        <v>14</v>
      </c>
      <c r="C223" s="82" t="s">
        <v>508</v>
      </c>
      <c r="D223" s="28"/>
      <c r="E223" s="88">
        <f t="shared" si="0"/>
        <v>0</v>
      </c>
      <c r="F223" s="90"/>
      <c r="G223" s="88">
        <f t="shared" si="1"/>
        <v>0</v>
      </c>
      <c r="H223" s="82" t="s">
        <v>50</v>
      </c>
      <c r="I223" s="112" t="s">
        <v>51</v>
      </c>
    </row>
    <row r="224" spans="1:9" ht="12.75" x14ac:dyDescent="0.2">
      <c r="A224" s="109">
        <v>48142005</v>
      </c>
      <c r="B224" s="26" t="s">
        <v>14</v>
      </c>
      <c r="C224" s="82" t="s">
        <v>511</v>
      </c>
      <c r="D224" s="28"/>
      <c r="E224" s="88">
        <f t="shared" si="0"/>
        <v>0</v>
      </c>
      <c r="F224" s="90"/>
      <c r="G224" s="88">
        <f t="shared" si="1"/>
        <v>0</v>
      </c>
      <c r="H224" s="82" t="s">
        <v>50</v>
      </c>
      <c r="I224" s="112" t="s">
        <v>51</v>
      </c>
    </row>
    <row r="225" spans="1:9" ht="12.75" x14ac:dyDescent="0.2">
      <c r="A225" s="109">
        <v>48142005</v>
      </c>
      <c r="B225" s="26" t="s">
        <v>14</v>
      </c>
      <c r="C225" s="82" t="s">
        <v>515</v>
      </c>
      <c r="D225" s="28"/>
      <c r="E225" s="88">
        <f t="shared" si="0"/>
        <v>0</v>
      </c>
      <c r="F225" s="90"/>
      <c r="G225" s="88">
        <f t="shared" si="1"/>
        <v>0</v>
      </c>
      <c r="H225" s="82" t="s">
        <v>52</v>
      </c>
      <c r="I225" s="112" t="s">
        <v>51</v>
      </c>
    </row>
    <row r="226" spans="1:9" ht="12.75" x14ac:dyDescent="0.2">
      <c r="A226" s="109">
        <v>48142005</v>
      </c>
      <c r="B226" s="26" t="s">
        <v>14</v>
      </c>
      <c r="C226" s="82" t="s">
        <v>518</v>
      </c>
      <c r="D226" s="28"/>
      <c r="E226" s="88">
        <f t="shared" si="0"/>
        <v>0</v>
      </c>
      <c r="F226" s="90"/>
      <c r="G226" s="88">
        <f t="shared" si="1"/>
        <v>0</v>
      </c>
      <c r="H226" s="82" t="s">
        <v>52</v>
      </c>
      <c r="I226" s="112" t="s">
        <v>51</v>
      </c>
    </row>
    <row r="227" spans="1:9" ht="12.75" x14ac:dyDescent="0.2">
      <c r="A227" s="116">
        <v>48142005</v>
      </c>
      <c r="B227" s="118" t="s">
        <v>14</v>
      </c>
      <c r="C227" s="21" t="s">
        <v>520</v>
      </c>
      <c r="D227" s="101"/>
      <c r="E227" s="103">
        <f t="shared" si="0"/>
        <v>0</v>
      </c>
      <c r="F227" s="24"/>
      <c r="G227" s="103">
        <f t="shared" si="1"/>
        <v>0</v>
      </c>
      <c r="H227" s="21" t="s">
        <v>50</v>
      </c>
      <c r="I227" s="120" t="s">
        <v>51</v>
      </c>
    </row>
    <row r="228" spans="1:9" ht="12.75" x14ac:dyDescent="0.2">
      <c r="A228" s="44">
        <v>47712005</v>
      </c>
      <c r="B228" s="13" t="s">
        <v>14</v>
      </c>
      <c r="C228" s="14" t="s">
        <v>522</v>
      </c>
      <c r="D228" s="100">
        <f>2889.45+2418.89</f>
        <v>5308.34</v>
      </c>
      <c r="E228" s="46">
        <f t="shared" si="0"/>
        <v>482.57636363636357</v>
      </c>
      <c r="F228" s="17">
        <v>0.1</v>
      </c>
      <c r="G228" s="48">
        <f t="shared" si="1"/>
        <v>482.57636363636448</v>
      </c>
      <c r="H228" s="14" t="s">
        <v>52</v>
      </c>
      <c r="I228" s="49" t="s">
        <v>51</v>
      </c>
    </row>
    <row r="229" spans="1:9" ht="12.75" x14ac:dyDescent="0.2">
      <c r="A229" s="109">
        <v>47712005</v>
      </c>
      <c r="B229" s="133" t="s">
        <v>14</v>
      </c>
      <c r="C229" s="82" t="s">
        <v>528</v>
      </c>
      <c r="D229" s="134">
        <v>1248.76</v>
      </c>
      <c r="E229" s="88">
        <f t="shared" si="0"/>
        <v>113.52363636363637</v>
      </c>
      <c r="F229" s="90">
        <v>0.1</v>
      </c>
      <c r="G229" s="92">
        <f t="shared" si="1"/>
        <v>113.52363636363634</v>
      </c>
      <c r="H229" s="82" t="s">
        <v>52</v>
      </c>
      <c r="I229" s="112" t="s">
        <v>51</v>
      </c>
    </row>
    <row r="230" spans="1:9" ht="12.75" x14ac:dyDescent="0.2">
      <c r="A230" s="109">
        <v>47712005</v>
      </c>
      <c r="B230" s="133" t="s">
        <v>14</v>
      </c>
      <c r="C230" s="82" t="s">
        <v>532</v>
      </c>
      <c r="D230" s="134">
        <v>4874.55</v>
      </c>
      <c r="E230" s="88">
        <f t="shared" si="0"/>
        <v>443.14090909090913</v>
      </c>
      <c r="F230" s="90">
        <v>0.1</v>
      </c>
      <c r="G230" s="92">
        <f t="shared" si="1"/>
        <v>443.14090909090919</v>
      </c>
      <c r="H230" s="82" t="s">
        <v>52</v>
      </c>
      <c r="I230" s="112" t="s">
        <v>51</v>
      </c>
    </row>
    <row r="231" spans="1:9" ht="12.75" x14ac:dyDescent="0.2">
      <c r="A231" s="109">
        <v>47712005</v>
      </c>
      <c r="B231" s="133" t="s">
        <v>14</v>
      </c>
      <c r="C231" s="82" t="s">
        <v>535</v>
      </c>
      <c r="D231" s="134">
        <v>4970.25</v>
      </c>
      <c r="E231" s="88">
        <f t="shared" si="0"/>
        <v>451.84090909090912</v>
      </c>
      <c r="F231" s="90">
        <v>0.1</v>
      </c>
      <c r="G231" s="92">
        <f t="shared" si="1"/>
        <v>451.84090909090901</v>
      </c>
      <c r="H231" s="82" t="s">
        <v>52</v>
      </c>
      <c r="I231" s="112" t="s">
        <v>51</v>
      </c>
    </row>
    <row r="232" spans="1:9" ht="12.75" x14ac:dyDescent="0.2">
      <c r="A232" s="109">
        <v>47712005</v>
      </c>
      <c r="B232" s="133" t="s">
        <v>14</v>
      </c>
      <c r="C232" s="82" t="s">
        <v>538</v>
      </c>
      <c r="D232" s="28">
        <f>2478.03+2928</f>
        <v>5406.0300000000007</v>
      </c>
      <c r="E232" s="88">
        <f t="shared" si="0"/>
        <v>491.45727272727277</v>
      </c>
      <c r="F232" s="90">
        <v>0.1</v>
      </c>
      <c r="G232" s="92">
        <f t="shared" si="1"/>
        <v>491.45727272727345</v>
      </c>
      <c r="H232" s="82" t="s">
        <v>52</v>
      </c>
      <c r="I232" s="112" t="s">
        <v>51</v>
      </c>
    </row>
    <row r="233" spans="1:9" ht="12.75" x14ac:dyDescent="0.2">
      <c r="A233" s="116">
        <v>47712005</v>
      </c>
      <c r="B233" s="140" t="s">
        <v>14</v>
      </c>
      <c r="C233" s="21" t="s">
        <v>547</v>
      </c>
      <c r="D233" s="22">
        <v>2781.11</v>
      </c>
      <c r="E233" s="103">
        <f t="shared" si="0"/>
        <v>252.8281818181818</v>
      </c>
      <c r="F233" s="24">
        <v>0.1</v>
      </c>
      <c r="G233" s="105">
        <f t="shared" si="1"/>
        <v>252.8281818181822</v>
      </c>
      <c r="H233" s="21" t="s">
        <v>52</v>
      </c>
      <c r="I233" s="120" t="s">
        <v>51</v>
      </c>
    </row>
    <row r="234" spans="1:9" ht="12.75" x14ac:dyDescent="0.2">
      <c r="A234" s="44">
        <v>218952006</v>
      </c>
      <c r="B234" s="13" t="s">
        <v>14</v>
      </c>
      <c r="C234" s="14" t="s">
        <v>27</v>
      </c>
      <c r="D234" s="15">
        <v>3999.06</v>
      </c>
      <c r="E234" s="46">
        <f t="shared" si="0"/>
        <v>363.55090909090904</v>
      </c>
      <c r="F234" s="17">
        <v>0.1</v>
      </c>
      <c r="G234" s="46">
        <f t="shared" si="1"/>
        <v>363.5509090909095</v>
      </c>
      <c r="H234" s="14" t="s">
        <v>50</v>
      </c>
      <c r="I234" s="49" t="s">
        <v>51</v>
      </c>
    </row>
    <row r="235" spans="1:9" ht="12.75" x14ac:dyDescent="0.2">
      <c r="A235" s="109">
        <v>218952006</v>
      </c>
      <c r="B235" s="26" t="s">
        <v>14</v>
      </c>
      <c r="C235" s="82" t="s">
        <v>555</v>
      </c>
      <c r="D235" s="134">
        <v>2549.59</v>
      </c>
      <c r="E235" s="88">
        <f t="shared" si="0"/>
        <v>231.78090909090906</v>
      </c>
      <c r="F235" s="90">
        <v>0.1</v>
      </c>
      <c r="G235" s="88">
        <f t="shared" si="1"/>
        <v>231.78090909090952</v>
      </c>
      <c r="H235" s="82" t="s">
        <v>50</v>
      </c>
      <c r="I235" s="112" t="s">
        <v>51</v>
      </c>
    </row>
    <row r="236" spans="1:9" ht="12.75" x14ac:dyDescent="0.2">
      <c r="A236" s="109">
        <v>218952006</v>
      </c>
      <c r="B236" s="26" t="s">
        <v>14</v>
      </c>
      <c r="C236" s="82" t="s">
        <v>558</v>
      </c>
      <c r="D236" s="134">
        <v>1769.1</v>
      </c>
      <c r="E236" s="88">
        <f t="shared" si="0"/>
        <v>160.82727272727271</v>
      </c>
      <c r="F236" s="90">
        <v>0.1</v>
      </c>
      <c r="G236" s="88">
        <f t="shared" si="1"/>
        <v>160.82727272727288</v>
      </c>
      <c r="H236" s="82" t="s">
        <v>50</v>
      </c>
      <c r="I236" s="112" t="s">
        <v>51</v>
      </c>
    </row>
    <row r="237" spans="1:9" ht="12.75" x14ac:dyDescent="0.2">
      <c r="A237" s="109">
        <v>218952006</v>
      </c>
      <c r="B237" s="26" t="s">
        <v>14</v>
      </c>
      <c r="C237" s="82" t="s">
        <v>560</v>
      </c>
      <c r="D237" s="134">
        <v>1162.1600000000001</v>
      </c>
      <c r="E237" s="88">
        <f t="shared" si="0"/>
        <v>105.6509090909091</v>
      </c>
      <c r="F237" s="90">
        <v>0.1</v>
      </c>
      <c r="G237" s="88">
        <f t="shared" si="1"/>
        <v>105.65090909090918</v>
      </c>
      <c r="H237" s="82" t="s">
        <v>50</v>
      </c>
      <c r="I237" s="112" t="s">
        <v>51</v>
      </c>
    </row>
    <row r="238" spans="1:9" ht="12.75" x14ac:dyDescent="0.2">
      <c r="A238" s="109">
        <v>218952006</v>
      </c>
      <c r="B238" s="26" t="s">
        <v>14</v>
      </c>
      <c r="C238" s="82" t="s">
        <v>564</v>
      </c>
      <c r="D238" s="134">
        <v>1142.0999999999999</v>
      </c>
      <c r="E238" s="88">
        <f t="shared" si="0"/>
        <v>103.82727272727271</v>
      </c>
      <c r="F238" s="90">
        <v>0.1</v>
      </c>
      <c r="G238" s="88">
        <f t="shared" si="1"/>
        <v>103.82727272727288</v>
      </c>
      <c r="H238" s="82" t="s">
        <v>50</v>
      </c>
      <c r="I238" s="112" t="s">
        <v>51</v>
      </c>
    </row>
    <row r="239" spans="1:9" ht="12.75" x14ac:dyDescent="0.2">
      <c r="A239" s="109">
        <v>218952006</v>
      </c>
      <c r="B239" s="26" t="s">
        <v>14</v>
      </c>
      <c r="C239" s="82" t="s">
        <v>567</v>
      </c>
      <c r="D239" s="134">
        <v>3188.84</v>
      </c>
      <c r="E239" s="88">
        <f t="shared" si="0"/>
        <v>289.89454545454549</v>
      </c>
      <c r="F239" s="90">
        <v>0.1</v>
      </c>
      <c r="G239" s="88">
        <f t="shared" si="1"/>
        <v>289.89454545454555</v>
      </c>
      <c r="H239" s="82" t="s">
        <v>50</v>
      </c>
      <c r="I239" s="112" t="s">
        <v>51</v>
      </c>
    </row>
    <row r="240" spans="1:9" ht="12.75" x14ac:dyDescent="0.2">
      <c r="A240" s="109">
        <v>218952006</v>
      </c>
      <c r="B240" s="26" t="s">
        <v>14</v>
      </c>
      <c r="C240" s="82" t="s">
        <v>571</v>
      </c>
      <c r="D240" s="134">
        <v>7029.49</v>
      </c>
      <c r="E240" s="88">
        <f t="shared" si="0"/>
        <v>639.04454545454541</v>
      </c>
      <c r="F240" s="90">
        <v>0.1</v>
      </c>
      <c r="G240" s="88">
        <f t="shared" si="1"/>
        <v>639.0445454545461</v>
      </c>
      <c r="H240" s="82" t="s">
        <v>50</v>
      </c>
      <c r="I240" s="112" t="s">
        <v>51</v>
      </c>
    </row>
    <row r="241" spans="1:9" ht="12.75" x14ac:dyDescent="0.2">
      <c r="A241" s="109">
        <v>218952006</v>
      </c>
      <c r="B241" s="26" t="s">
        <v>14</v>
      </c>
      <c r="C241" s="82" t="s">
        <v>572</v>
      </c>
      <c r="D241" s="134">
        <v>5142.88</v>
      </c>
      <c r="E241" s="88">
        <f t="shared" si="0"/>
        <v>467.53454545454542</v>
      </c>
      <c r="F241" s="90">
        <v>0.1</v>
      </c>
      <c r="G241" s="88">
        <f t="shared" si="1"/>
        <v>467.53454545454588</v>
      </c>
      <c r="H241" s="82" t="s">
        <v>50</v>
      </c>
      <c r="I241" s="112" t="s">
        <v>51</v>
      </c>
    </row>
    <row r="242" spans="1:9" ht="12.75" x14ac:dyDescent="0.2">
      <c r="A242" s="109">
        <v>218952006</v>
      </c>
      <c r="B242" s="26" t="s">
        <v>14</v>
      </c>
      <c r="C242" s="82" t="s">
        <v>574</v>
      </c>
      <c r="D242" s="134">
        <v>7289.83</v>
      </c>
      <c r="E242" s="88">
        <f t="shared" si="0"/>
        <v>662.71181818181822</v>
      </c>
      <c r="F242" s="90">
        <v>0.1</v>
      </c>
      <c r="G242" s="88">
        <f t="shared" si="1"/>
        <v>662.71181818181867</v>
      </c>
      <c r="H242" s="82" t="s">
        <v>50</v>
      </c>
      <c r="I242" s="112" t="s">
        <v>51</v>
      </c>
    </row>
    <row r="243" spans="1:9" ht="12.75" x14ac:dyDescent="0.2">
      <c r="A243" s="109">
        <v>218952006</v>
      </c>
      <c r="B243" s="26" t="s">
        <v>14</v>
      </c>
      <c r="C243" s="82" t="s">
        <v>579</v>
      </c>
      <c r="D243" s="134">
        <v>2106.56</v>
      </c>
      <c r="E243" s="88">
        <f t="shared" si="0"/>
        <v>191.50545454545454</v>
      </c>
      <c r="F243" s="90">
        <v>0.1</v>
      </c>
      <c r="G243" s="88">
        <f t="shared" si="1"/>
        <v>191.50545454545477</v>
      </c>
      <c r="H243" s="82" t="s">
        <v>50</v>
      </c>
      <c r="I243" s="112" t="s">
        <v>51</v>
      </c>
    </row>
    <row r="244" spans="1:9" ht="12.75" x14ac:dyDescent="0.2">
      <c r="A244" s="109">
        <v>218952006</v>
      </c>
      <c r="B244" s="26" t="s">
        <v>14</v>
      </c>
      <c r="C244" s="82" t="s">
        <v>583</v>
      </c>
      <c r="D244" s="134">
        <v>2360.52</v>
      </c>
      <c r="E244" s="88">
        <f t="shared" si="0"/>
        <v>214.59272727272725</v>
      </c>
      <c r="F244" s="90">
        <v>0.1</v>
      </c>
      <c r="G244" s="88">
        <f t="shared" si="1"/>
        <v>214.59272727272764</v>
      </c>
      <c r="H244" s="82" t="s">
        <v>50</v>
      </c>
      <c r="I244" s="112" t="s">
        <v>51</v>
      </c>
    </row>
    <row r="245" spans="1:9" ht="12.75" x14ac:dyDescent="0.2">
      <c r="A245" s="109">
        <v>218952006</v>
      </c>
      <c r="B245" s="26" t="s">
        <v>14</v>
      </c>
      <c r="C245" s="82" t="s">
        <v>587</v>
      </c>
      <c r="D245" s="134">
        <v>1043.1400000000001</v>
      </c>
      <c r="E245" s="88">
        <f t="shared" si="0"/>
        <v>94.830909090909103</v>
      </c>
      <c r="F245" s="90">
        <v>0.1</v>
      </c>
      <c r="G245" s="88">
        <f t="shared" si="1"/>
        <v>94.830909090909131</v>
      </c>
      <c r="H245" s="82" t="s">
        <v>50</v>
      </c>
      <c r="I245" s="112" t="s">
        <v>51</v>
      </c>
    </row>
    <row r="246" spans="1:9" ht="12.75" x14ac:dyDescent="0.2">
      <c r="A246" s="109">
        <v>218952006</v>
      </c>
      <c r="B246" s="26" t="s">
        <v>14</v>
      </c>
      <c r="C246" s="82" t="s">
        <v>591</v>
      </c>
      <c r="D246" s="134">
        <v>2058.37</v>
      </c>
      <c r="E246" s="88">
        <f t="shared" si="0"/>
        <v>187.12454545454545</v>
      </c>
      <c r="F246" s="90">
        <v>0.1</v>
      </c>
      <c r="G246" s="88">
        <f t="shared" si="1"/>
        <v>187.12454545454557</v>
      </c>
      <c r="H246" s="82" t="s">
        <v>50</v>
      </c>
      <c r="I246" s="112" t="s">
        <v>51</v>
      </c>
    </row>
    <row r="247" spans="1:9" ht="12.75" x14ac:dyDescent="0.2">
      <c r="A247" s="109">
        <v>218952006</v>
      </c>
      <c r="B247" s="26" t="s">
        <v>14</v>
      </c>
      <c r="C247" s="82" t="s">
        <v>595</v>
      </c>
      <c r="D247" s="134">
        <v>2545.2800000000002</v>
      </c>
      <c r="E247" s="88">
        <f t="shared" si="0"/>
        <v>231.38909090909092</v>
      </c>
      <c r="F247" s="90">
        <v>0.1</v>
      </c>
      <c r="G247" s="88">
        <f t="shared" si="1"/>
        <v>231.38909090909101</v>
      </c>
      <c r="H247" s="82" t="s">
        <v>50</v>
      </c>
      <c r="I247" s="112" t="s">
        <v>51</v>
      </c>
    </row>
    <row r="248" spans="1:9" ht="12.75" x14ac:dyDescent="0.2">
      <c r="A248" s="116">
        <v>218952006</v>
      </c>
      <c r="B248" s="118" t="s">
        <v>14</v>
      </c>
      <c r="C248" s="21" t="s">
        <v>600</v>
      </c>
      <c r="D248" s="22">
        <v>1161.4000000000001</v>
      </c>
      <c r="E248" s="103">
        <f t="shared" si="0"/>
        <v>105.58181818181818</v>
      </c>
      <c r="F248" s="24">
        <v>0.1</v>
      </c>
      <c r="G248" s="103">
        <f t="shared" si="1"/>
        <v>105.58181818181833</v>
      </c>
      <c r="H248" s="21" t="s">
        <v>50</v>
      </c>
      <c r="I248" s="120" t="s">
        <v>51</v>
      </c>
    </row>
    <row r="249" spans="1:9" ht="12.75" x14ac:dyDescent="0.2">
      <c r="A249" s="44">
        <v>119572005</v>
      </c>
      <c r="B249" s="13" t="s">
        <v>14</v>
      </c>
      <c r="C249" s="14" t="s">
        <v>603</v>
      </c>
      <c r="D249" s="15">
        <v>3969.13</v>
      </c>
      <c r="E249" s="46">
        <f t="shared" si="0"/>
        <v>360.83</v>
      </c>
      <c r="F249" s="17">
        <v>0.1</v>
      </c>
      <c r="G249" s="46">
        <f t="shared" si="1"/>
        <v>360.83000000000038</v>
      </c>
      <c r="H249" s="14" t="s">
        <v>50</v>
      </c>
      <c r="I249" s="49" t="s">
        <v>51</v>
      </c>
    </row>
    <row r="250" spans="1:9" ht="12.75" x14ac:dyDescent="0.2">
      <c r="A250" s="51">
        <v>119572005</v>
      </c>
      <c r="B250" s="31" t="s">
        <v>14</v>
      </c>
      <c r="C250" s="53" t="s">
        <v>606</v>
      </c>
      <c r="D250" s="54">
        <v>4428.3599999999997</v>
      </c>
      <c r="E250" s="56">
        <f t="shared" si="0"/>
        <v>402.57818181818175</v>
      </c>
      <c r="F250" s="57">
        <v>0.1</v>
      </c>
      <c r="G250" s="56">
        <f t="shared" si="1"/>
        <v>402.5781818181822</v>
      </c>
      <c r="H250" s="53" t="s">
        <v>50</v>
      </c>
      <c r="I250" s="66" t="s">
        <v>51</v>
      </c>
    </row>
    <row r="251" spans="1:9" ht="12.75" x14ac:dyDescent="0.2">
      <c r="A251" s="51">
        <v>119572005</v>
      </c>
      <c r="B251" s="31" t="s">
        <v>14</v>
      </c>
      <c r="C251" s="53" t="s">
        <v>611</v>
      </c>
      <c r="D251" s="54">
        <v>3265.88</v>
      </c>
      <c r="E251" s="56">
        <f t="shared" si="0"/>
        <v>296.89818181818185</v>
      </c>
      <c r="F251" s="57">
        <v>0.1</v>
      </c>
      <c r="G251" s="56">
        <f t="shared" si="1"/>
        <v>296.89818181818191</v>
      </c>
      <c r="H251" s="53" t="s">
        <v>50</v>
      </c>
      <c r="I251" s="66" t="s">
        <v>51</v>
      </c>
    </row>
    <row r="252" spans="1:9" ht="12.75" x14ac:dyDescent="0.2">
      <c r="A252" s="51">
        <v>119572005</v>
      </c>
      <c r="B252" s="31" t="s">
        <v>14</v>
      </c>
      <c r="C252" s="53" t="s">
        <v>616</v>
      </c>
      <c r="D252" s="54">
        <v>2808.2</v>
      </c>
      <c r="E252" s="56">
        <f t="shared" si="0"/>
        <v>255.29090909090905</v>
      </c>
      <c r="F252" s="57">
        <v>0.1</v>
      </c>
      <c r="G252" s="56">
        <f t="shared" si="1"/>
        <v>255.29090909090928</v>
      </c>
      <c r="H252" s="53" t="s">
        <v>50</v>
      </c>
      <c r="I252" s="66" t="s">
        <v>51</v>
      </c>
    </row>
    <row r="253" spans="1:9" ht="12.75" x14ac:dyDescent="0.2">
      <c r="A253" s="51">
        <v>119572005</v>
      </c>
      <c r="B253" s="31" t="s">
        <v>14</v>
      </c>
      <c r="C253" s="53" t="s">
        <v>621</v>
      </c>
      <c r="D253" s="54">
        <v>5106.08</v>
      </c>
      <c r="E253" s="56">
        <f t="shared" si="0"/>
        <v>464.18909090909085</v>
      </c>
      <c r="F253" s="57">
        <v>0.1</v>
      </c>
      <c r="G253" s="56">
        <f t="shared" si="1"/>
        <v>464.18909090909165</v>
      </c>
      <c r="H253" s="53" t="s">
        <v>50</v>
      </c>
      <c r="I253" s="66" t="s">
        <v>51</v>
      </c>
    </row>
    <row r="254" spans="1:9" ht="12.75" x14ac:dyDescent="0.2">
      <c r="A254" s="51">
        <v>119572005</v>
      </c>
      <c r="B254" s="31" t="s">
        <v>14</v>
      </c>
      <c r="C254" s="53" t="s">
        <v>623</v>
      </c>
      <c r="D254" s="54">
        <v>1333.01</v>
      </c>
      <c r="E254" s="56">
        <f t="shared" si="0"/>
        <v>121.18272727272728</v>
      </c>
      <c r="F254" s="57">
        <v>0.1</v>
      </c>
      <c r="G254" s="56">
        <f t="shared" si="1"/>
        <v>121.18272727272733</v>
      </c>
      <c r="H254" s="53" t="s">
        <v>50</v>
      </c>
      <c r="I254" s="66" t="s">
        <v>51</v>
      </c>
    </row>
    <row r="255" spans="1:9" ht="12.75" x14ac:dyDescent="0.2">
      <c r="A255" s="51">
        <v>119572005</v>
      </c>
      <c r="B255" s="31" t="s">
        <v>14</v>
      </c>
      <c r="C255" s="53" t="s">
        <v>624</v>
      </c>
      <c r="D255" s="54">
        <v>3395.36</v>
      </c>
      <c r="E255" s="56">
        <f t="shared" si="0"/>
        <v>308.66909090909093</v>
      </c>
      <c r="F255" s="57">
        <v>0.1</v>
      </c>
      <c r="G255" s="56">
        <f t="shared" si="1"/>
        <v>308.66909090909121</v>
      </c>
      <c r="H255" s="53" t="s">
        <v>50</v>
      </c>
      <c r="I255" s="66" t="s">
        <v>51</v>
      </c>
    </row>
    <row r="256" spans="1:9" ht="12.75" x14ac:dyDescent="0.2">
      <c r="A256" s="75">
        <v>119572005</v>
      </c>
      <c r="B256" s="77" t="s">
        <v>14</v>
      </c>
      <c r="C256" s="79" t="s">
        <v>625</v>
      </c>
      <c r="D256" s="84">
        <v>767.66</v>
      </c>
      <c r="E256" s="86">
        <f t="shared" si="0"/>
        <v>69.787272727272722</v>
      </c>
      <c r="F256" s="93">
        <v>0.1</v>
      </c>
      <c r="G256" s="86">
        <f t="shared" si="1"/>
        <v>69.787272727272807</v>
      </c>
      <c r="H256" s="79" t="s">
        <v>50</v>
      </c>
      <c r="I256" s="98" t="s">
        <v>51</v>
      </c>
    </row>
    <row r="257" spans="1:9" ht="12.75" x14ac:dyDescent="0.2">
      <c r="A257" s="44">
        <v>226462006</v>
      </c>
      <c r="B257" s="13" t="s">
        <v>14</v>
      </c>
      <c r="C257" s="14" t="s">
        <v>626</v>
      </c>
      <c r="D257" s="15">
        <v>2750.31</v>
      </c>
      <c r="E257" s="46">
        <f t="shared" si="0"/>
        <v>250.02818181818179</v>
      </c>
      <c r="F257" s="17">
        <v>0.1</v>
      </c>
      <c r="G257" s="46">
        <f t="shared" si="1"/>
        <v>250.02818181818202</v>
      </c>
      <c r="H257" s="14" t="s">
        <v>50</v>
      </c>
      <c r="I257" s="49" t="s">
        <v>51</v>
      </c>
    </row>
    <row r="258" spans="1:9" ht="12.75" x14ac:dyDescent="0.2">
      <c r="A258" s="51">
        <v>226462006</v>
      </c>
      <c r="B258" s="52" t="s">
        <v>14</v>
      </c>
      <c r="C258" s="53" t="s">
        <v>627</v>
      </c>
      <c r="D258" s="54">
        <v>2864.29</v>
      </c>
      <c r="E258" s="56">
        <f t="shared" si="0"/>
        <v>260.39</v>
      </c>
      <c r="F258" s="57">
        <v>0.1</v>
      </c>
      <c r="G258" s="56">
        <f t="shared" si="1"/>
        <v>260.39000000000033</v>
      </c>
      <c r="H258" s="53" t="s">
        <v>50</v>
      </c>
      <c r="I258" s="66" t="s">
        <v>51</v>
      </c>
    </row>
    <row r="259" spans="1:9" ht="12.75" x14ac:dyDescent="0.2">
      <c r="A259" s="51">
        <v>226462006</v>
      </c>
      <c r="B259" s="52" t="s">
        <v>14</v>
      </c>
      <c r="C259" s="53" t="s">
        <v>628</v>
      </c>
      <c r="D259" s="54">
        <v>4577.29</v>
      </c>
      <c r="E259" s="56">
        <f t="shared" si="0"/>
        <v>416.11727272727268</v>
      </c>
      <c r="F259" s="57">
        <v>0.1</v>
      </c>
      <c r="G259" s="56">
        <f t="shared" si="1"/>
        <v>416.1172727272733</v>
      </c>
      <c r="H259" s="53" t="s">
        <v>50</v>
      </c>
      <c r="I259" s="66" t="s">
        <v>51</v>
      </c>
    </row>
    <row r="260" spans="1:9" ht="12.75" x14ac:dyDescent="0.2">
      <c r="A260" s="51">
        <v>226462006</v>
      </c>
      <c r="B260" s="52" t="s">
        <v>14</v>
      </c>
      <c r="C260" s="53" t="s">
        <v>629</v>
      </c>
      <c r="D260" s="54">
        <v>3225.36</v>
      </c>
      <c r="E260" s="56">
        <f t="shared" si="0"/>
        <v>293.21454545454543</v>
      </c>
      <c r="F260" s="57">
        <v>0.1</v>
      </c>
      <c r="G260" s="56">
        <f t="shared" si="1"/>
        <v>293.21454545454571</v>
      </c>
      <c r="H260" s="53" t="s">
        <v>50</v>
      </c>
      <c r="I260" s="66" t="s">
        <v>51</v>
      </c>
    </row>
    <row r="261" spans="1:9" ht="12.75" x14ac:dyDescent="0.2">
      <c r="A261" s="51">
        <v>226462006</v>
      </c>
      <c r="B261" s="52" t="s">
        <v>14</v>
      </c>
      <c r="C261" s="53" t="s">
        <v>630</v>
      </c>
      <c r="D261" s="54">
        <v>7105.53</v>
      </c>
      <c r="E261" s="56">
        <f t="shared" si="0"/>
        <v>645.95727272727265</v>
      </c>
      <c r="F261" s="57">
        <v>0.1</v>
      </c>
      <c r="G261" s="56">
        <f t="shared" si="1"/>
        <v>645.95727272727345</v>
      </c>
      <c r="H261" s="53" t="s">
        <v>50</v>
      </c>
      <c r="I261" s="66" t="s">
        <v>51</v>
      </c>
    </row>
    <row r="262" spans="1:9" ht="12.75" x14ac:dyDescent="0.2">
      <c r="A262" s="51">
        <v>226462006</v>
      </c>
      <c r="B262" s="52" t="s">
        <v>14</v>
      </c>
      <c r="C262" s="53" t="s">
        <v>631</v>
      </c>
      <c r="D262" s="54">
        <v>5501.01</v>
      </c>
      <c r="E262" s="56">
        <f t="shared" si="0"/>
        <v>500.09181818181816</v>
      </c>
      <c r="F262" s="57">
        <v>0.1</v>
      </c>
      <c r="G262" s="56">
        <f t="shared" si="1"/>
        <v>500.09181818181878</v>
      </c>
      <c r="H262" s="53" t="s">
        <v>50</v>
      </c>
      <c r="I262" s="66" t="s">
        <v>51</v>
      </c>
    </row>
    <row r="263" spans="1:9" ht="12.75" x14ac:dyDescent="0.2">
      <c r="A263" s="51">
        <v>226462006</v>
      </c>
      <c r="B263" s="52" t="s">
        <v>14</v>
      </c>
      <c r="C263" s="53" t="s">
        <v>632</v>
      </c>
      <c r="D263" s="54">
        <v>3299.74</v>
      </c>
      <c r="E263" s="56">
        <f t="shared" si="0"/>
        <v>299.9763636363636</v>
      </c>
      <c r="F263" s="57">
        <v>0.1</v>
      </c>
      <c r="G263" s="56">
        <f t="shared" si="1"/>
        <v>299.97636363636366</v>
      </c>
      <c r="H263" s="53" t="s">
        <v>50</v>
      </c>
      <c r="I263" s="66" t="s">
        <v>51</v>
      </c>
    </row>
    <row r="264" spans="1:9" ht="12.75" x14ac:dyDescent="0.2">
      <c r="A264" s="51">
        <v>226462006</v>
      </c>
      <c r="B264" s="52" t="s">
        <v>14</v>
      </c>
      <c r="C264" s="53" t="s">
        <v>633</v>
      </c>
      <c r="D264" s="54">
        <v>3201.27</v>
      </c>
      <c r="E264" s="56">
        <f t="shared" si="0"/>
        <v>291.02454545454543</v>
      </c>
      <c r="F264" s="57">
        <v>0.1</v>
      </c>
      <c r="G264" s="56">
        <f t="shared" si="1"/>
        <v>291.02454545454566</v>
      </c>
      <c r="H264" s="53" t="s">
        <v>50</v>
      </c>
      <c r="I264" s="66" t="s">
        <v>51</v>
      </c>
    </row>
    <row r="265" spans="1:9" ht="12.75" x14ac:dyDescent="0.2">
      <c r="A265" s="51">
        <v>226462006</v>
      </c>
      <c r="B265" s="52" t="s">
        <v>14</v>
      </c>
      <c r="C265" s="53" t="s">
        <v>634</v>
      </c>
      <c r="D265" s="54">
        <v>1246.6600000000001</v>
      </c>
      <c r="E265" s="56">
        <f t="shared" si="0"/>
        <v>113.33272727272727</v>
      </c>
      <c r="F265" s="57">
        <v>0.1</v>
      </c>
      <c r="G265" s="56">
        <f t="shared" si="1"/>
        <v>113.33272727272742</v>
      </c>
      <c r="H265" s="53" t="s">
        <v>50</v>
      </c>
      <c r="I265" s="66" t="s">
        <v>51</v>
      </c>
    </row>
    <row r="266" spans="1:9" ht="12.75" x14ac:dyDescent="0.2">
      <c r="A266" s="51">
        <v>226462006</v>
      </c>
      <c r="B266" s="52" t="s">
        <v>14</v>
      </c>
      <c r="C266" s="53" t="s">
        <v>635</v>
      </c>
      <c r="D266" s="54">
        <v>3506.29</v>
      </c>
      <c r="E266" s="56">
        <f t="shared" si="0"/>
        <v>318.75363636363636</v>
      </c>
      <c r="F266" s="57">
        <v>0.1</v>
      </c>
      <c r="G266" s="56">
        <f t="shared" si="1"/>
        <v>318.75363636363682</v>
      </c>
      <c r="H266" s="53" t="s">
        <v>50</v>
      </c>
      <c r="I266" s="66" t="s">
        <v>51</v>
      </c>
    </row>
    <row r="267" spans="1:9" ht="12.75" x14ac:dyDescent="0.2">
      <c r="A267" s="51">
        <v>226462006</v>
      </c>
      <c r="B267" s="52" t="s">
        <v>14</v>
      </c>
      <c r="C267" s="53" t="s">
        <v>636</v>
      </c>
      <c r="D267" s="54">
        <v>2723.59</v>
      </c>
      <c r="E267" s="56">
        <f t="shared" si="0"/>
        <v>247.59909090909093</v>
      </c>
      <c r="F267" s="57">
        <v>0.1</v>
      </c>
      <c r="G267" s="56">
        <f t="shared" si="1"/>
        <v>247.59909090909105</v>
      </c>
      <c r="H267" s="53" t="s">
        <v>50</v>
      </c>
      <c r="I267" s="66" t="s">
        <v>51</v>
      </c>
    </row>
    <row r="268" spans="1:9" ht="12.75" x14ac:dyDescent="0.2">
      <c r="A268" s="51">
        <v>226462006</v>
      </c>
      <c r="B268" s="52" t="s">
        <v>14</v>
      </c>
      <c r="C268" s="53" t="s">
        <v>637</v>
      </c>
      <c r="D268" s="54">
        <v>3464.54</v>
      </c>
      <c r="E268" s="56">
        <f t="shared" si="0"/>
        <v>314.95818181818186</v>
      </c>
      <c r="F268" s="57">
        <v>0.1</v>
      </c>
      <c r="G268" s="56">
        <f t="shared" si="1"/>
        <v>314.95818181818186</v>
      </c>
      <c r="H268" s="53" t="s">
        <v>50</v>
      </c>
      <c r="I268" s="66" t="s">
        <v>51</v>
      </c>
    </row>
    <row r="269" spans="1:9" ht="12.75" x14ac:dyDescent="0.2">
      <c r="A269" s="51">
        <v>226462006</v>
      </c>
      <c r="B269" s="52" t="s">
        <v>14</v>
      </c>
      <c r="C269" s="53" t="s">
        <v>638</v>
      </c>
      <c r="D269" s="54">
        <v>1246.6600000000001</v>
      </c>
      <c r="E269" s="56">
        <f t="shared" si="0"/>
        <v>113.33272727272727</v>
      </c>
      <c r="F269" s="57">
        <v>0.1</v>
      </c>
      <c r="G269" s="56">
        <f t="shared" si="1"/>
        <v>113.33272727272742</v>
      </c>
      <c r="H269" s="53" t="s">
        <v>50</v>
      </c>
      <c r="I269" s="66" t="s">
        <v>51</v>
      </c>
    </row>
    <row r="270" spans="1:9" ht="12.75" x14ac:dyDescent="0.2">
      <c r="A270" s="51">
        <v>226462006</v>
      </c>
      <c r="B270" s="52" t="s">
        <v>14</v>
      </c>
      <c r="C270" s="53" t="s">
        <v>639</v>
      </c>
      <c r="D270" s="54">
        <v>2468.0500000000002</v>
      </c>
      <c r="E270" s="56">
        <f t="shared" si="0"/>
        <v>224.36818181818182</v>
      </c>
      <c r="F270" s="57">
        <v>0.1</v>
      </c>
      <c r="G270" s="56">
        <f t="shared" si="1"/>
        <v>224.36818181818217</v>
      </c>
      <c r="H270" s="53" t="s">
        <v>50</v>
      </c>
      <c r="I270" s="66" t="s">
        <v>51</v>
      </c>
    </row>
    <row r="271" spans="1:9" ht="12.75" x14ac:dyDescent="0.2">
      <c r="A271" s="68">
        <v>226462006</v>
      </c>
      <c r="B271" s="63" t="s">
        <v>14</v>
      </c>
      <c r="C271" s="65" t="s">
        <v>640</v>
      </c>
      <c r="D271" s="67">
        <v>3724.45</v>
      </c>
      <c r="E271" s="69">
        <f t="shared" si="0"/>
        <v>338.58636363636361</v>
      </c>
      <c r="F271" s="71">
        <v>0.1</v>
      </c>
      <c r="G271" s="69">
        <f t="shared" si="1"/>
        <v>338.58636363636379</v>
      </c>
      <c r="H271" s="65" t="s">
        <v>50</v>
      </c>
      <c r="I271" s="81" t="s">
        <v>51</v>
      </c>
    </row>
    <row r="272" spans="1:9" ht="12.75" x14ac:dyDescent="0.2">
      <c r="A272" s="109">
        <v>26582005</v>
      </c>
      <c r="B272" s="80" t="s">
        <v>14</v>
      </c>
      <c r="C272" s="82" t="s">
        <v>641</v>
      </c>
      <c r="D272" s="28"/>
      <c r="E272" s="88">
        <f t="shared" si="0"/>
        <v>0</v>
      </c>
      <c r="F272" s="90"/>
      <c r="G272" s="92">
        <f t="shared" si="1"/>
        <v>0</v>
      </c>
      <c r="H272" s="82" t="s">
        <v>52</v>
      </c>
      <c r="I272" s="112" t="s">
        <v>51</v>
      </c>
    </row>
    <row r="273" spans="1:9" ht="12.75" x14ac:dyDescent="0.2">
      <c r="A273" s="51">
        <v>26582005</v>
      </c>
      <c r="B273" s="31" t="s">
        <v>14</v>
      </c>
      <c r="C273" s="53" t="s">
        <v>643</v>
      </c>
      <c r="D273" s="33"/>
      <c r="E273" s="56">
        <f t="shared" si="0"/>
        <v>0</v>
      </c>
      <c r="F273" s="57"/>
      <c r="G273" s="64">
        <f t="shared" si="1"/>
        <v>0</v>
      </c>
      <c r="H273" s="53" t="s">
        <v>52</v>
      </c>
      <c r="I273" s="66" t="s">
        <v>51</v>
      </c>
    </row>
    <row r="274" spans="1:9" ht="12.75" x14ac:dyDescent="0.2">
      <c r="A274" s="51">
        <v>26582005</v>
      </c>
      <c r="B274" s="31" t="s">
        <v>14</v>
      </c>
      <c r="C274" s="53" t="s">
        <v>646</v>
      </c>
      <c r="D274" s="33"/>
      <c r="E274" s="56">
        <f t="shared" si="0"/>
        <v>0</v>
      </c>
      <c r="F274" s="57"/>
      <c r="G274" s="64">
        <f t="shared" si="1"/>
        <v>0</v>
      </c>
      <c r="H274" s="53" t="s">
        <v>52</v>
      </c>
      <c r="I274" s="66" t="s">
        <v>51</v>
      </c>
    </row>
    <row r="275" spans="1:9" ht="12.75" x14ac:dyDescent="0.2">
      <c r="A275" s="51">
        <v>26582005</v>
      </c>
      <c r="B275" s="31" t="s">
        <v>14</v>
      </c>
      <c r="C275" s="53" t="s">
        <v>647</v>
      </c>
      <c r="D275" s="33"/>
      <c r="E275" s="56">
        <f t="shared" si="0"/>
        <v>0</v>
      </c>
      <c r="F275" s="57"/>
      <c r="G275" s="64">
        <f t="shared" si="1"/>
        <v>0</v>
      </c>
      <c r="H275" s="53" t="s">
        <v>52</v>
      </c>
      <c r="I275" s="66" t="s">
        <v>51</v>
      </c>
    </row>
    <row r="276" spans="1:9" ht="12.75" x14ac:dyDescent="0.2">
      <c r="A276" s="68">
        <v>26582005</v>
      </c>
      <c r="B276" s="175" t="s">
        <v>14</v>
      </c>
      <c r="C276" s="65" t="s">
        <v>648</v>
      </c>
      <c r="D276" s="153"/>
      <c r="E276" s="69">
        <f t="shared" si="0"/>
        <v>0</v>
      </c>
      <c r="F276" s="71"/>
      <c r="G276" s="199">
        <f t="shared" si="1"/>
        <v>0</v>
      </c>
      <c r="H276" s="65" t="s">
        <v>52</v>
      </c>
      <c r="I276" s="81" t="s">
        <v>51</v>
      </c>
    </row>
    <row r="277" spans="1:9" ht="12.75" x14ac:dyDescent="0.2">
      <c r="A277" s="44">
        <v>281032006</v>
      </c>
      <c r="B277" s="13" t="s">
        <v>14</v>
      </c>
      <c r="C277" s="14" t="s">
        <v>39</v>
      </c>
      <c r="D277" s="100"/>
      <c r="E277" s="46">
        <f t="shared" si="0"/>
        <v>0</v>
      </c>
      <c r="F277" s="17"/>
      <c r="G277" s="46">
        <f t="shared" si="1"/>
        <v>0</v>
      </c>
      <c r="H277" s="14" t="s">
        <v>42</v>
      </c>
      <c r="I277" s="49" t="s">
        <v>51</v>
      </c>
    </row>
    <row r="278" spans="1:9" ht="12.75" x14ac:dyDescent="0.2">
      <c r="A278" s="109">
        <v>281032006</v>
      </c>
      <c r="B278" s="26" t="s">
        <v>14</v>
      </c>
      <c r="C278" s="82" t="s">
        <v>649</v>
      </c>
      <c r="D278" s="134"/>
      <c r="E278" s="88">
        <f t="shared" si="0"/>
        <v>0</v>
      </c>
      <c r="F278" s="90"/>
      <c r="G278" s="88">
        <f t="shared" si="1"/>
        <v>0</v>
      </c>
      <c r="H278" s="82" t="s">
        <v>42</v>
      </c>
      <c r="I278" s="112" t="s">
        <v>51</v>
      </c>
    </row>
    <row r="279" spans="1:9" ht="12.75" x14ac:dyDescent="0.2">
      <c r="A279" s="109">
        <v>281032006</v>
      </c>
      <c r="B279" s="26" t="s">
        <v>14</v>
      </c>
      <c r="C279" s="82" t="s">
        <v>650</v>
      </c>
      <c r="D279" s="134"/>
      <c r="E279" s="88">
        <f t="shared" si="0"/>
        <v>0</v>
      </c>
      <c r="F279" s="90"/>
      <c r="G279" s="88">
        <f t="shared" si="1"/>
        <v>0</v>
      </c>
      <c r="H279" s="82" t="s">
        <v>42</v>
      </c>
      <c r="I279" s="112" t="s">
        <v>51</v>
      </c>
    </row>
    <row r="280" spans="1:9" ht="12.75" x14ac:dyDescent="0.2">
      <c r="A280" s="109">
        <v>281032006</v>
      </c>
      <c r="B280" s="26" t="s">
        <v>14</v>
      </c>
      <c r="C280" s="82" t="s">
        <v>651</v>
      </c>
      <c r="D280" s="134"/>
      <c r="E280" s="88">
        <f t="shared" si="0"/>
        <v>0</v>
      </c>
      <c r="F280" s="90"/>
      <c r="G280" s="88">
        <f t="shared" si="1"/>
        <v>0</v>
      </c>
      <c r="H280" s="82" t="s">
        <v>42</v>
      </c>
      <c r="I280" s="112" t="s">
        <v>51</v>
      </c>
    </row>
    <row r="281" spans="1:9" ht="12.75" x14ac:dyDescent="0.2">
      <c r="A281" s="109">
        <v>281032006</v>
      </c>
      <c r="B281" s="26" t="s">
        <v>14</v>
      </c>
      <c r="C281" s="82" t="s">
        <v>654</v>
      </c>
      <c r="D281" s="134"/>
      <c r="E281" s="88">
        <f t="shared" si="0"/>
        <v>0</v>
      </c>
      <c r="F281" s="90"/>
      <c r="G281" s="88">
        <f t="shared" si="1"/>
        <v>0</v>
      </c>
      <c r="H281" s="82" t="s">
        <v>42</v>
      </c>
      <c r="I281" s="112" t="s">
        <v>51</v>
      </c>
    </row>
    <row r="282" spans="1:9" ht="12.75" x14ac:dyDescent="0.2">
      <c r="A282" s="109">
        <v>281032006</v>
      </c>
      <c r="B282" s="26" t="s">
        <v>14</v>
      </c>
      <c r="C282" s="82" t="s">
        <v>655</v>
      </c>
      <c r="D282" s="134"/>
      <c r="E282" s="88">
        <f t="shared" si="0"/>
        <v>0</v>
      </c>
      <c r="F282" s="90"/>
      <c r="G282" s="88">
        <f t="shared" si="1"/>
        <v>0</v>
      </c>
      <c r="H282" s="82" t="s">
        <v>42</v>
      </c>
      <c r="I282" s="112" t="s">
        <v>51</v>
      </c>
    </row>
    <row r="283" spans="1:9" ht="12.75" x14ac:dyDescent="0.2">
      <c r="A283" s="109">
        <v>281032006</v>
      </c>
      <c r="B283" s="26" t="s">
        <v>14</v>
      </c>
      <c r="C283" s="82" t="s">
        <v>656</v>
      </c>
      <c r="D283" s="134"/>
      <c r="E283" s="88">
        <f t="shared" si="0"/>
        <v>0</v>
      </c>
      <c r="F283" s="90"/>
      <c r="G283" s="88">
        <f t="shared" si="1"/>
        <v>0</v>
      </c>
      <c r="H283" s="82" t="s">
        <v>42</v>
      </c>
      <c r="I283" s="112" t="s">
        <v>51</v>
      </c>
    </row>
    <row r="284" spans="1:9" ht="12.75" x14ac:dyDescent="0.2">
      <c r="A284" s="109">
        <v>281032006</v>
      </c>
      <c r="B284" s="26" t="s">
        <v>14</v>
      </c>
      <c r="C284" s="82" t="s">
        <v>657</v>
      </c>
      <c r="D284" s="134"/>
      <c r="E284" s="88">
        <f t="shared" si="0"/>
        <v>0</v>
      </c>
      <c r="F284" s="90"/>
      <c r="G284" s="88">
        <f t="shared" si="1"/>
        <v>0</v>
      </c>
      <c r="H284" s="82" t="s">
        <v>42</v>
      </c>
      <c r="I284" s="112" t="s">
        <v>51</v>
      </c>
    </row>
    <row r="285" spans="1:9" ht="12.75" x14ac:dyDescent="0.2">
      <c r="A285" s="109">
        <v>281032006</v>
      </c>
      <c r="B285" s="26" t="s">
        <v>14</v>
      </c>
      <c r="C285" s="82" t="s">
        <v>658</v>
      </c>
      <c r="D285" s="134"/>
      <c r="E285" s="88">
        <f t="shared" si="0"/>
        <v>0</v>
      </c>
      <c r="F285" s="90"/>
      <c r="G285" s="88">
        <f t="shared" si="1"/>
        <v>0</v>
      </c>
      <c r="H285" s="82" t="s">
        <v>42</v>
      </c>
      <c r="I285" s="112" t="s">
        <v>51</v>
      </c>
    </row>
    <row r="286" spans="1:9" ht="12.75" x14ac:dyDescent="0.2">
      <c r="A286" s="109">
        <v>281032006</v>
      </c>
      <c r="B286" s="26" t="s">
        <v>14</v>
      </c>
      <c r="C286" s="82" t="s">
        <v>659</v>
      </c>
      <c r="D286" s="134"/>
      <c r="E286" s="88">
        <f t="shared" si="0"/>
        <v>0</v>
      </c>
      <c r="F286" s="90"/>
      <c r="G286" s="88">
        <f t="shared" si="1"/>
        <v>0</v>
      </c>
      <c r="H286" s="82" t="s">
        <v>42</v>
      </c>
      <c r="I286" s="112" t="s">
        <v>51</v>
      </c>
    </row>
    <row r="287" spans="1:9" ht="12.75" x14ac:dyDescent="0.2">
      <c r="A287" s="109">
        <v>281032006</v>
      </c>
      <c r="B287" s="26" t="s">
        <v>14</v>
      </c>
      <c r="C287" s="82" t="s">
        <v>660</v>
      </c>
      <c r="D287" s="134"/>
      <c r="E287" s="88">
        <f t="shared" si="0"/>
        <v>0</v>
      </c>
      <c r="F287" s="90"/>
      <c r="G287" s="88">
        <f t="shared" si="1"/>
        <v>0</v>
      </c>
      <c r="H287" s="82" t="s">
        <v>42</v>
      </c>
      <c r="I287" s="112" t="s">
        <v>51</v>
      </c>
    </row>
    <row r="288" spans="1:9" ht="12.75" x14ac:dyDescent="0.2">
      <c r="A288" s="109">
        <v>281032006</v>
      </c>
      <c r="B288" s="26" t="s">
        <v>14</v>
      </c>
      <c r="C288" s="82" t="s">
        <v>661</v>
      </c>
      <c r="D288" s="134"/>
      <c r="E288" s="88">
        <f t="shared" si="0"/>
        <v>0</v>
      </c>
      <c r="F288" s="90"/>
      <c r="G288" s="88">
        <f t="shared" si="1"/>
        <v>0</v>
      </c>
      <c r="H288" s="82" t="s">
        <v>42</v>
      </c>
      <c r="I288" s="112" t="s">
        <v>51</v>
      </c>
    </row>
    <row r="289" spans="1:9" ht="12.75" x14ac:dyDescent="0.2">
      <c r="A289" s="109">
        <v>281032006</v>
      </c>
      <c r="B289" s="26" t="s">
        <v>14</v>
      </c>
      <c r="C289" s="82" t="s">
        <v>662</v>
      </c>
      <c r="D289" s="134"/>
      <c r="E289" s="88">
        <f t="shared" si="0"/>
        <v>0</v>
      </c>
      <c r="F289" s="90"/>
      <c r="G289" s="88">
        <f t="shared" si="1"/>
        <v>0</v>
      </c>
      <c r="H289" s="82" t="s">
        <v>42</v>
      </c>
      <c r="I289" s="112" t="s">
        <v>51</v>
      </c>
    </row>
    <row r="290" spans="1:9" ht="12.75" x14ac:dyDescent="0.2">
      <c r="A290" s="109">
        <v>281032006</v>
      </c>
      <c r="B290" s="26" t="s">
        <v>14</v>
      </c>
      <c r="C290" s="82" t="s">
        <v>663</v>
      </c>
      <c r="D290" s="134"/>
      <c r="E290" s="88">
        <f t="shared" si="0"/>
        <v>0</v>
      </c>
      <c r="F290" s="90"/>
      <c r="G290" s="88">
        <f t="shared" si="1"/>
        <v>0</v>
      </c>
      <c r="H290" s="82" t="s">
        <v>42</v>
      </c>
      <c r="I290" s="112" t="s">
        <v>51</v>
      </c>
    </row>
    <row r="291" spans="1:9" ht="12.75" x14ac:dyDescent="0.2">
      <c r="A291" s="116">
        <v>281032006</v>
      </c>
      <c r="B291" s="118" t="s">
        <v>14</v>
      </c>
      <c r="C291" s="21" t="s">
        <v>664</v>
      </c>
      <c r="D291" s="22"/>
      <c r="E291" s="103">
        <f t="shared" si="0"/>
        <v>0</v>
      </c>
      <c r="F291" s="24"/>
      <c r="G291" s="103">
        <f t="shared" si="1"/>
        <v>0</v>
      </c>
      <c r="H291" s="21" t="s">
        <v>42</v>
      </c>
      <c r="I291" s="120" t="s">
        <v>51</v>
      </c>
    </row>
    <row r="292" spans="1:9" ht="12.75" x14ac:dyDescent="0.2">
      <c r="A292" s="44">
        <v>36572005</v>
      </c>
      <c r="B292" s="13" t="s">
        <v>14</v>
      </c>
      <c r="C292" s="14" t="s">
        <v>665</v>
      </c>
      <c r="D292" s="15">
        <f>1915.23+191.52</f>
        <v>2106.75</v>
      </c>
      <c r="E292" s="46">
        <f t="shared" si="0"/>
        <v>191.52272727272725</v>
      </c>
      <c r="F292" s="17">
        <v>0.1</v>
      </c>
      <c r="G292" s="48">
        <f t="shared" si="1"/>
        <v>191.52272727272748</v>
      </c>
      <c r="H292" s="14" t="s">
        <v>52</v>
      </c>
      <c r="I292" s="49" t="s">
        <v>51</v>
      </c>
    </row>
    <row r="293" spans="1:9" ht="12.75" x14ac:dyDescent="0.2">
      <c r="A293" s="109">
        <v>36572005</v>
      </c>
      <c r="B293" s="133" t="s">
        <v>14</v>
      </c>
      <c r="C293" s="82" t="s">
        <v>666</v>
      </c>
      <c r="D293" s="134">
        <f>1679.07+167.9</f>
        <v>1846.97</v>
      </c>
      <c r="E293" s="88">
        <f t="shared" si="0"/>
        <v>167.90636363636364</v>
      </c>
      <c r="F293" s="90">
        <v>0.1</v>
      </c>
      <c r="G293" s="92">
        <f t="shared" si="1"/>
        <v>167.90636363636372</v>
      </c>
      <c r="H293" s="82" t="s">
        <v>52</v>
      </c>
      <c r="I293" s="112" t="s">
        <v>51</v>
      </c>
    </row>
    <row r="294" spans="1:9" ht="12.75" x14ac:dyDescent="0.2">
      <c r="A294" s="109">
        <v>36572005</v>
      </c>
      <c r="B294" s="133" t="s">
        <v>14</v>
      </c>
      <c r="C294" s="82" t="s">
        <v>667</v>
      </c>
      <c r="D294" s="134">
        <f>1961.46+196.14</f>
        <v>2157.6</v>
      </c>
      <c r="E294" s="88">
        <f t="shared" si="0"/>
        <v>196.14545454545453</v>
      </c>
      <c r="F294" s="90">
        <v>0.1</v>
      </c>
      <c r="G294" s="92">
        <f t="shared" si="1"/>
        <v>196.14545454545464</v>
      </c>
      <c r="H294" s="82" t="s">
        <v>52</v>
      </c>
      <c r="I294" s="112" t="s">
        <v>51</v>
      </c>
    </row>
    <row r="295" spans="1:9" ht="12.75" x14ac:dyDescent="0.2">
      <c r="A295" s="109">
        <v>36572005</v>
      </c>
      <c r="B295" s="133" t="s">
        <v>14</v>
      </c>
      <c r="C295" s="82" t="s">
        <v>668</v>
      </c>
      <c r="D295" s="134">
        <f>10005.63+1000.56</f>
        <v>11006.189999999999</v>
      </c>
      <c r="E295" s="88">
        <f t="shared" si="0"/>
        <v>1000.562727272727</v>
      </c>
      <c r="F295" s="90">
        <v>0.1</v>
      </c>
      <c r="G295" s="92">
        <f t="shared" si="1"/>
        <v>1000.5627272727288</v>
      </c>
      <c r="H295" s="82" t="s">
        <v>52</v>
      </c>
      <c r="I295" s="112" t="s">
        <v>51</v>
      </c>
    </row>
    <row r="296" spans="1:9" ht="12.75" x14ac:dyDescent="0.2">
      <c r="A296" s="116">
        <v>36572005</v>
      </c>
      <c r="B296" s="140" t="s">
        <v>14</v>
      </c>
      <c r="C296" s="21" t="s">
        <v>669</v>
      </c>
      <c r="D296" s="22">
        <f>6167.21+616.72</f>
        <v>6783.93</v>
      </c>
      <c r="E296" s="103">
        <f t="shared" si="0"/>
        <v>616.72090909090912</v>
      </c>
      <c r="F296" s="24">
        <v>0.1</v>
      </c>
      <c r="G296" s="105">
        <f t="shared" si="1"/>
        <v>616.72090909091003</v>
      </c>
      <c r="H296" s="21" t="s">
        <v>52</v>
      </c>
      <c r="I296" s="120" t="s">
        <v>51</v>
      </c>
    </row>
    <row r="297" spans="1:9" ht="12.75" x14ac:dyDescent="0.2">
      <c r="A297" s="44">
        <v>182402008</v>
      </c>
      <c r="B297" s="13" t="s">
        <v>13</v>
      </c>
      <c r="C297" s="14" t="s">
        <v>670</v>
      </c>
      <c r="D297" s="100"/>
      <c r="E297" s="46">
        <f t="shared" si="0"/>
        <v>0</v>
      </c>
      <c r="F297" s="17">
        <v>0.1</v>
      </c>
      <c r="G297" s="46">
        <f t="shared" si="1"/>
        <v>0</v>
      </c>
      <c r="H297" s="14" t="s">
        <v>315</v>
      </c>
      <c r="I297" s="49" t="s">
        <v>51</v>
      </c>
    </row>
    <row r="298" spans="1:9" ht="12.75" x14ac:dyDescent="0.2">
      <c r="A298" s="109">
        <v>182402008</v>
      </c>
      <c r="B298" s="80" t="s">
        <v>13</v>
      </c>
      <c r="C298" s="82" t="s">
        <v>671</v>
      </c>
      <c r="D298" s="28"/>
      <c r="E298" s="88">
        <f t="shared" si="0"/>
        <v>0</v>
      </c>
      <c r="F298" s="90">
        <v>0.1</v>
      </c>
      <c r="G298" s="88">
        <f t="shared" si="1"/>
        <v>0</v>
      </c>
      <c r="H298" s="82" t="s">
        <v>315</v>
      </c>
      <c r="I298" s="112" t="s">
        <v>51</v>
      </c>
    </row>
    <row r="299" spans="1:9" ht="12.75" x14ac:dyDescent="0.2">
      <c r="A299" s="116">
        <v>182402008</v>
      </c>
      <c r="B299" s="20" t="s">
        <v>13</v>
      </c>
      <c r="C299" s="21" t="s">
        <v>672</v>
      </c>
      <c r="D299" s="101"/>
      <c r="E299" s="103">
        <f t="shared" si="0"/>
        <v>0</v>
      </c>
      <c r="F299" s="24">
        <v>0.1</v>
      </c>
      <c r="G299" s="103">
        <f t="shared" si="1"/>
        <v>0</v>
      </c>
      <c r="H299" s="21" t="s">
        <v>315</v>
      </c>
      <c r="I299" s="120" t="s">
        <v>51</v>
      </c>
    </row>
    <row r="300" spans="1:9" ht="12.75" x14ac:dyDescent="0.2">
      <c r="A300" s="145">
        <v>133542005</v>
      </c>
      <c r="B300" s="6" t="s">
        <v>14</v>
      </c>
      <c r="C300" s="146" t="s">
        <v>673</v>
      </c>
      <c r="D300" s="147">
        <v>954.14</v>
      </c>
      <c r="E300" s="113">
        <f t="shared" si="0"/>
        <v>86.74</v>
      </c>
      <c r="F300" s="10">
        <v>0.1</v>
      </c>
      <c r="G300" s="113">
        <f t="shared" si="1"/>
        <v>86.740000000000123</v>
      </c>
      <c r="H300" s="7" t="s">
        <v>50</v>
      </c>
      <c r="I300" s="148" t="s">
        <v>51</v>
      </c>
    </row>
    <row r="301" spans="1:9" ht="12.75" x14ac:dyDescent="0.2">
      <c r="A301" s="44">
        <v>330592008</v>
      </c>
      <c r="B301" s="13" t="s">
        <v>14</v>
      </c>
      <c r="C301" s="14" t="s">
        <v>674</v>
      </c>
      <c r="D301" s="100"/>
      <c r="E301" s="46">
        <f t="shared" si="0"/>
        <v>0</v>
      </c>
      <c r="F301" s="17"/>
      <c r="G301" s="46">
        <f t="shared" si="1"/>
        <v>0</v>
      </c>
      <c r="H301" s="14" t="s">
        <v>50</v>
      </c>
      <c r="I301" s="49" t="s">
        <v>51</v>
      </c>
    </row>
    <row r="302" spans="1:9" ht="12.75" x14ac:dyDescent="0.2">
      <c r="A302" s="109">
        <v>330592008</v>
      </c>
      <c r="B302" s="133" t="s">
        <v>14</v>
      </c>
      <c r="C302" s="82" t="s">
        <v>675</v>
      </c>
      <c r="D302" s="28"/>
      <c r="E302" s="88">
        <f t="shared" si="0"/>
        <v>0</v>
      </c>
      <c r="F302" s="90"/>
      <c r="G302" s="88">
        <f t="shared" si="1"/>
        <v>0</v>
      </c>
      <c r="H302" s="82" t="s">
        <v>50</v>
      </c>
      <c r="I302" s="112" t="s">
        <v>51</v>
      </c>
    </row>
    <row r="303" spans="1:9" ht="12.75" x14ac:dyDescent="0.2">
      <c r="A303" s="109">
        <v>330592008</v>
      </c>
      <c r="B303" s="133" t="s">
        <v>14</v>
      </c>
      <c r="C303" s="82" t="s">
        <v>676</v>
      </c>
      <c r="D303" s="28"/>
      <c r="E303" s="88">
        <f t="shared" si="0"/>
        <v>0</v>
      </c>
      <c r="F303" s="90"/>
      <c r="G303" s="88">
        <f t="shared" si="1"/>
        <v>0</v>
      </c>
      <c r="H303" s="82" t="s">
        <v>50</v>
      </c>
      <c r="I303" s="112" t="s">
        <v>51</v>
      </c>
    </row>
    <row r="304" spans="1:9" ht="12.75" x14ac:dyDescent="0.2">
      <c r="A304" s="109">
        <v>330592008</v>
      </c>
      <c r="B304" s="133" t="s">
        <v>14</v>
      </c>
      <c r="C304" s="82" t="s">
        <v>677</v>
      </c>
      <c r="D304" s="28"/>
      <c r="E304" s="88">
        <f t="shared" si="0"/>
        <v>0</v>
      </c>
      <c r="F304" s="90"/>
      <c r="G304" s="88">
        <f t="shared" si="1"/>
        <v>0</v>
      </c>
      <c r="H304" s="82" t="s">
        <v>50</v>
      </c>
      <c r="I304" s="112" t="s">
        <v>51</v>
      </c>
    </row>
    <row r="305" spans="1:9" ht="12.75" x14ac:dyDescent="0.2">
      <c r="A305" s="109">
        <v>330592008</v>
      </c>
      <c r="B305" s="133" t="s">
        <v>14</v>
      </c>
      <c r="C305" s="82" t="s">
        <v>678</v>
      </c>
      <c r="D305" s="28"/>
      <c r="E305" s="88">
        <f t="shared" si="0"/>
        <v>0</v>
      </c>
      <c r="F305" s="90"/>
      <c r="G305" s="88">
        <f t="shared" si="1"/>
        <v>0</v>
      </c>
      <c r="H305" s="82" t="s">
        <v>52</v>
      </c>
      <c r="I305" s="112" t="s">
        <v>51</v>
      </c>
    </row>
    <row r="306" spans="1:9" ht="12.75" x14ac:dyDescent="0.2">
      <c r="A306" s="109">
        <v>330592008</v>
      </c>
      <c r="B306" s="133" t="s">
        <v>14</v>
      </c>
      <c r="C306" s="82" t="s">
        <v>679</v>
      </c>
      <c r="D306" s="28"/>
      <c r="E306" s="88">
        <f t="shared" si="0"/>
        <v>0</v>
      </c>
      <c r="F306" s="90"/>
      <c r="G306" s="88">
        <f t="shared" si="1"/>
        <v>0</v>
      </c>
      <c r="H306" s="82" t="s">
        <v>52</v>
      </c>
      <c r="I306" s="112" t="s">
        <v>51</v>
      </c>
    </row>
    <row r="307" spans="1:9" ht="12.75" x14ac:dyDescent="0.2">
      <c r="A307" s="109">
        <v>330592008</v>
      </c>
      <c r="B307" s="133" t="s">
        <v>14</v>
      </c>
      <c r="C307" s="82" t="s">
        <v>680</v>
      </c>
      <c r="D307" s="28"/>
      <c r="E307" s="88">
        <f t="shared" si="0"/>
        <v>0</v>
      </c>
      <c r="F307" s="90"/>
      <c r="G307" s="88">
        <f t="shared" si="1"/>
        <v>0</v>
      </c>
      <c r="H307" s="82" t="s">
        <v>52</v>
      </c>
      <c r="I307" s="112" t="s">
        <v>51</v>
      </c>
    </row>
    <row r="308" spans="1:9" ht="12.75" x14ac:dyDescent="0.2">
      <c r="A308" s="109">
        <v>330592008</v>
      </c>
      <c r="B308" s="133" t="s">
        <v>14</v>
      </c>
      <c r="C308" s="82" t="s">
        <v>681</v>
      </c>
      <c r="D308" s="28"/>
      <c r="E308" s="88">
        <f t="shared" si="0"/>
        <v>0</v>
      </c>
      <c r="F308" s="90"/>
      <c r="G308" s="88">
        <f t="shared" si="1"/>
        <v>0</v>
      </c>
      <c r="H308" s="82" t="s">
        <v>50</v>
      </c>
      <c r="I308" s="112" t="s">
        <v>51</v>
      </c>
    </row>
    <row r="309" spans="1:9" ht="12.75" x14ac:dyDescent="0.2">
      <c r="A309" s="109">
        <v>330592008</v>
      </c>
      <c r="B309" s="133" t="s">
        <v>14</v>
      </c>
      <c r="C309" s="82" t="s">
        <v>682</v>
      </c>
      <c r="D309" s="28"/>
      <c r="E309" s="88">
        <f t="shared" si="0"/>
        <v>0</v>
      </c>
      <c r="F309" s="90"/>
      <c r="G309" s="88">
        <f t="shared" si="1"/>
        <v>0</v>
      </c>
      <c r="H309" s="82" t="s">
        <v>52</v>
      </c>
      <c r="I309" s="112" t="s">
        <v>51</v>
      </c>
    </row>
    <row r="310" spans="1:9" ht="12.75" x14ac:dyDescent="0.2">
      <c r="A310" s="109">
        <v>330592008</v>
      </c>
      <c r="B310" s="133" t="s">
        <v>14</v>
      </c>
      <c r="C310" s="82" t="s">
        <v>683</v>
      </c>
      <c r="D310" s="28"/>
      <c r="E310" s="88">
        <f t="shared" si="0"/>
        <v>0</v>
      </c>
      <c r="F310" s="90"/>
      <c r="G310" s="88">
        <f t="shared" si="1"/>
        <v>0</v>
      </c>
      <c r="H310" s="82" t="s">
        <v>50</v>
      </c>
      <c r="I310" s="112" t="s">
        <v>51</v>
      </c>
    </row>
    <row r="311" spans="1:9" ht="12.75" x14ac:dyDescent="0.2">
      <c r="A311" s="109">
        <v>330592008</v>
      </c>
      <c r="B311" s="133" t="s">
        <v>14</v>
      </c>
      <c r="C311" s="82" t="s">
        <v>684</v>
      </c>
      <c r="D311" s="28"/>
      <c r="E311" s="88">
        <f t="shared" si="0"/>
        <v>0</v>
      </c>
      <c r="F311" s="90"/>
      <c r="G311" s="88">
        <f t="shared" si="1"/>
        <v>0</v>
      </c>
      <c r="H311" s="82" t="s">
        <v>52</v>
      </c>
      <c r="I311" s="112" t="s">
        <v>51</v>
      </c>
    </row>
    <row r="312" spans="1:9" ht="12.75" x14ac:dyDescent="0.2">
      <c r="A312" s="109">
        <v>330592008</v>
      </c>
      <c r="B312" s="133" t="s">
        <v>14</v>
      </c>
      <c r="C312" s="82" t="s">
        <v>685</v>
      </c>
      <c r="D312" s="28"/>
      <c r="E312" s="88">
        <f t="shared" si="0"/>
        <v>0</v>
      </c>
      <c r="F312" s="90"/>
      <c r="G312" s="88">
        <f t="shared" si="1"/>
        <v>0</v>
      </c>
      <c r="H312" s="82" t="s">
        <v>52</v>
      </c>
      <c r="I312" s="112" t="s">
        <v>51</v>
      </c>
    </row>
    <row r="313" spans="1:9" ht="12.75" x14ac:dyDescent="0.2">
      <c r="A313" s="109">
        <v>330592008</v>
      </c>
      <c r="B313" s="133" t="s">
        <v>14</v>
      </c>
      <c r="C313" s="82" t="s">
        <v>686</v>
      </c>
      <c r="D313" s="28"/>
      <c r="E313" s="88">
        <f t="shared" si="0"/>
        <v>0</v>
      </c>
      <c r="F313" s="90"/>
      <c r="G313" s="88">
        <f t="shared" si="1"/>
        <v>0</v>
      </c>
      <c r="H313" s="82" t="s">
        <v>52</v>
      </c>
      <c r="I313" s="112" t="s">
        <v>51</v>
      </c>
    </row>
    <row r="314" spans="1:9" ht="12.75" x14ac:dyDescent="0.2">
      <c r="A314" s="109">
        <v>330592008</v>
      </c>
      <c r="B314" s="133" t="s">
        <v>14</v>
      </c>
      <c r="C314" s="82" t="s">
        <v>687</v>
      </c>
      <c r="D314" s="28"/>
      <c r="E314" s="88">
        <f t="shared" si="0"/>
        <v>0</v>
      </c>
      <c r="F314" s="90"/>
      <c r="G314" s="88">
        <f t="shared" si="1"/>
        <v>0</v>
      </c>
      <c r="H314" s="82" t="s">
        <v>50</v>
      </c>
      <c r="I314" s="112" t="s">
        <v>51</v>
      </c>
    </row>
    <row r="315" spans="1:9" ht="12.75" x14ac:dyDescent="0.2">
      <c r="A315" s="116">
        <v>330592008</v>
      </c>
      <c r="B315" s="140" t="s">
        <v>14</v>
      </c>
      <c r="C315" s="21" t="s">
        <v>688</v>
      </c>
      <c r="D315" s="101"/>
      <c r="E315" s="103">
        <f t="shared" si="0"/>
        <v>0</v>
      </c>
      <c r="F315" s="24"/>
      <c r="G315" s="103">
        <f t="shared" si="1"/>
        <v>0</v>
      </c>
      <c r="H315" s="21" t="s">
        <v>52</v>
      </c>
      <c r="I315" s="120" t="s">
        <v>51</v>
      </c>
    </row>
    <row r="316" spans="1:9" ht="12.75" x14ac:dyDescent="0.2">
      <c r="A316" s="44">
        <v>178172006</v>
      </c>
      <c r="B316" s="13" t="s">
        <v>14</v>
      </c>
      <c r="C316" s="14" t="s">
        <v>689</v>
      </c>
      <c r="D316" s="100"/>
      <c r="E316" s="46">
        <f t="shared" si="0"/>
        <v>0</v>
      </c>
      <c r="F316" s="17"/>
      <c r="G316" s="46">
        <f t="shared" si="1"/>
        <v>0</v>
      </c>
      <c r="H316" s="14" t="s">
        <v>88</v>
      </c>
      <c r="I316" s="49" t="s">
        <v>51</v>
      </c>
    </row>
    <row r="317" spans="1:9" ht="12.75" x14ac:dyDescent="0.2">
      <c r="A317" s="109">
        <v>178172006</v>
      </c>
      <c r="B317" s="26" t="s">
        <v>14</v>
      </c>
      <c r="C317" s="82" t="s">
        <v>690</v>
      </c>
      <c r="D317" s="28"/>
      <c r="E317" s="88">
        <f t="shared" si="0"/>
        <v>0</v>
      </c>
      <c r="F317" s="90"/>
      <c r="G317" s="88">
        <f t="shared" si="1"/>
        <v>0</v>
      </c>
      <c r="H317" s="82" t="s">
        <v>88</v>
      </c>
      <c r="I317" s="112" t="s">
        <v>51</v>
      </c>
    </row>
    <row r="318" spans="1:9" ht="12.75" x14ac:dyDescent="0.2">
      <c r="A318" s="109">
        <v>178172006</v>
      </c>
      <c r="B318" s="26" t="s">
        <v>14</v>
      </c>
      <c r="C318" s="82" t="s">
        <v>691</v>
      </c>
      <c r="D318" s="28"/>
      <c r="E318" s="88">
        <f t="shared" si="0"/>
        <v>0</v>
      </c>
      <c r="F318" s="90"/>
      <c r="G318" s="88">
        <f t="shared" si="1"/>
        <v>0</v>
      </c>
      <c r="H318" s="82" t="s">
        <v>88</v>
      </c>
      <c r="I318" s="112" t="s">
        <v>51</v>
      </c>
    </row>
    <row r="319" spans="1:9" ht="12.75" x14ac:dyDescent="0.2">
      <c r="A319" s="109">
        <v>178172006</v>
      </c>
      <c r="B319" s="26" t="s">
        <v>14</v>
      </c>
      <c r="C319" s="82" t="s">
        <v>692</v>
      </c>
      <c r="D319" s="28"/>
      <c r="E319" s="88">
        <f t="shared" si="0"/>
        <v>0</v>
      </c>
      <c r="F319" s="90"/>
      <c r="G319" s="88">
        <f t="shared" si="1"/>
        <v>0</v>
      </c>
      <c r="H319" s="82" t="s">
        <v>88</v>
      </c>
      <c r="I319" s="112" t="s">
        <v>51</v>
      </c>
    </row>
    <row r="320" spans="1:9" ht="12.75" x14ac:dyDescent="0.2">
      <c r="A320" s="109">
        <v>178172006</v>
      </c>
      <c r="B320" s="26" t="s">
        <v>14</v>
      </c>
      <c r="C320" s="82" t="s">
        <v>693</v>
      </c>
      <c r="D320" s="28"/>
      <c r="E320" s="88">
        <f t="shared" si="0"/>
        <v>0</v>
      </c>
      <c r="F320" s="90"/>
      <c r="G320" s="88">
        <f t="shared" si="1"/>
        <v>0</v>
      </c>
      <c r="H320" s="82" t="s">
        <v>88</v>
      </c>
      <c r="I320" s="112" t="s">
        <v>51</v>
      </c>
    </row>
    <row r="321" spans="1:9" ht="12.75" x14ac:dyDescent="0.2">
      <c r="A321" s="109">
        <v>178172006</v>
      </c>
      <c r="B321" s="26" t="s">
        <v>14</v>
      </c>
      <c r="C321" s="82" t="s">
        <v>694</v>
      </c>
      <c r="D321" s="28"/>
      <c r="E321" s="88">
        <f t="shared" si="0"/>
        <v>0</v>
      </c>
      <c r="F321" s="90"/>
      <c r="G321" s="88">
        <f t="shared" si="1"/>
        <v>0</v>
      </c>
      <c r="H321" s="82" t="s">
        <v>88</v>
      </c>
      <c r="I321" s="112" t="s">
        <v>51</v>
      </c>
    </row>
    <row r="322" spans="1:9" ht="12.75" x14ac:dyDescent="0.2">
      <c r="A322" s="109">
        <v>178172006</v>
      </c>
      <c r="B322" s="26" t="s">
        <v>14</v>
      </c>
      <c r="C322" s="82" t="s">
        <v>695</v>
      </c>
      <c r="D322" s="28"/>
      <c r="E322" s="88">
        <f t="shared" si="0"/>
        <v>0</v>
      </c>
      <c r="F322" s="90"/>
      <c r="G322" s="88">
        <f t="shared" si="1"/>
        <v>0</v>
      </c>
      <c r="H322" s="82" t="s">
        <v>88</v>
      </c>
      <c r="I322" s="112" t="s">
        <v>51</v>
      </c>
    </row>
    <row r="323" spans="1:9" ht="12.75" x14ac:dyDescent="0.2">
      <c r="A323" s="109">
        <v>178172006</v>
      </c>
      <c r="B323" s="26" t="s">
        <v>14</v>
      </c>
      <c r="C323" s="82" t="s">
        <v>696</v>
      </c>
      <c r="D323" s="28"/>
      <c r="E323" s="88">
        <f t="shared" si="0"/>
        <v>0</v>
      </c>
      <c r="F323" s="90"/>
      <c r="G323" s="88">
        <f t="shared" si="1"/>
        <v>0</v>
      </c>
      <c r="H323" s="82" t="s">
        <v>88</v>
      </c>
      <c r="I323" s="112" t="s">
        <v>51</v>
      </c>
    </row>
    <row r="324" spans="1:9" ht="12.75" x14ac:dyDescent="0.2">
      <c r="A324" s="109">
        <v>178172006</v>
      </c>
      <c r="B324" s="26" t="s">
        <v>14</v>
      </c>
      <c r="C324" s="82" t="s">
        <v>697</v>
      </c>
      <c r="D324" s="28"/>
      <c r="E324" s="88">
        <f t="shared" si="0"/>
        <v>0</v>
      </c>
      <c r="F324" s="90"/>
      <c r="G324" s="88">
        <f t="shared" si="1"/>
        <v>0</v>
      </c>
      <c r="H324" s="82" t="s">
        <v>88</v>
      </c>
      <c r="I324" s="112" t="s">
        <v>51</v>
      </c>
    </row>
    <row r="325" spans="1:9" ht="12.75" x14ac:dyDescent="0.2">
      <c r="A325" s="109">
        <v>178172006</v>
      </c>
      <c r="B325" s="26" t="s">
        <v>14</v>
      </c>
      <c r="C325" s="82" t="s">
        <v>698</v>
      </c>
      <c r="D325" s="28"/>
      <c r="E325" s="88">
        <f t="shared" si="0"/>
        <v>0</v>
      </c>
      <c r="F325" s="90"/>
      <c r="G325" s="88">
        <f t="shared" si="1"/>
        <v>0</v>
      </c>
      <c r="H325" s="82" t="s">
        <v>88</v>
      </c>
      <c r="I325" s="112" t="s">
        <v>51</v>
      </c>
    </row>
    <row r="326" spans="1:9" ht="12.75" x14ac:dyDescent="0.2">
      <c r="A326" s="109">
        <v>178172006</v>
      </c>
      <c r="B326" s="26" t="s">
        <v>14</v>
      </c>
      <c r="C326" s="82" t="s">
        <v>624</v>
      </c>
      <c r="D326" s="28"/>
      <c r="E326" s="88">
        <f t="shared" si="0"/>
        <v>0</v>
      </c>
      <c r="F326" s="90"/>
      <c r="G326" s="88">
        <f t="shared" si="1"/>
        <v>0</v>
      </c>
      <c r="H326" s="82" t="s">
        <v>88</v>
      </c>
      <c r="I326" s="112" t="s">
        <v>51</v>
      </c>
    </row>
    <row r="327" spans="1:9" ht="12.75" x14ac:dyDescent="0.2">
      <c r="A327" s="109">
        <v>178172006</v>
      </c>
      <c r="B327" s="26" t="s">
        <v>14</v>
      </c>
      <c r="C327" s="82" t="s">
        <v>699</v>
      </c>
      <c r="D327" s="28"/>
      <c r="E327" s="88">
        <f t="shared" si="0"/>
        <v>0</v>
      </c>
      <c r="F327" s="90"/>
      <c r="G327" s="88">
        <f t="shared" si="1"/>
        <v>0</v>
      </c>
      <c r="H327" s="82" t="s">
        <v>88</v>
      </c>
      <c r="I327" s="112" t="s">
        <v>51</v>
      </c>
    </row>
    <row r="328" spans="1:9" ht="12.75" x14ac:dyDescent="0.2">
      <c r="A328" s="109">
        <v>178172006</v>
      </c>
      <c r="B328" s="26" t="s">
        <v>14</v>
      </c>
      <c r="C328" s="82" t="s">
        <v>700</v>
      </c>
      <c r="D328" s="28"/>
      <c r="E328" s="88">
        <f t="shared" si="0"/>
        <v>0</v>
      </c>
      <c r="F328" s="90"/>
      <c r="G328" s="88">
        <f t="shared" si="1"/>
        <v>0</v>
      </c>
      <c r="H328" s="82" t="s">
        <v>88</v>
      </c>
      <c r="I328" s="112" t="s">
        <v>51</v>
      </c>
    </row>
    <row r="329" spans="1:9" ht="12.75" x14ac:dyDescent="0.2">
      <c r="A329" s="109">
        <v>178172006</v>
      </c>
      <c r="B329" s="26" t="s">
        <v>14</v>
      </c>
      <c r="C329" s="82" t="s">
        <v>701</v>
      </c>
      <c r="D329" s="28"/>
      <c r="E329" s="88">
        <f t="shared" si="0"/>
        <v>0</v>
      </c>
      <c r="F329" s="90"/>
      <c r="G329" s="88">
        <f t="shared" si="1"/>
        <v>0</v>
      </c>
      <c r="H329" s="82" t="s">
        <v>88</v>
      </c>
      <c r="I329" s="112" t="s">
        <v>51</v>
      </c>
    </row>
    <row r="330" spans="1:9" ht="12.75" x14ac:dyDescent="0.2">
      <c r="A330" s="116">
        <v>178172006</v>
      </c>
      <c r="B330" s="118" t="s">
        <v>14</v>
      </c>
      <c r="C330" s="21" t="s">
        <v>702</v>
      </c>
      <c r="D330" s="101"/>
      <c r="E330" s="103">
        <f t="shared" si="0"/>
        <v>0</v>
      </c>
      <c r="F330" s="24"/>
      <c r="G330" s="103">
        <f t="shared" si="1"/>
        <v>0</v>
      </c>
      <c r="H330" s="21" t="s">
        <v>88</v>
      </c>
      <c r="I330" s="120" t="s">
        <v>51</v>
      </c>
    </row>
    <row r="331" spans="1:9" ht="12.75" x14ac:dyDescent="0.2">
      <c r="A331" s="44">
        <v>53982006</v>
      </c>
      <c r="B331" s="13" t="s">
        <v>14</v>
      </c>
      <c r="C331" s="14" t="s">
        <v>703</v>
      </c>
      <c r="D331" s="100"/>
      <c r="E331" s="46">
        <f t="shared" si="0"/>
        <v>0</v>
      </c>
      <c r="F331" s="17"/>
      <c r="G331" s="46">
        <f t="shared" si="1"/>
        <v>0</v>
      </c>
      <c r="H331" s="14" t="s">
        <v>37</v>
      </c>
      <c r="I331" s="49" t="s">
        <v>51</v>
      </c>
    </row>
    <row r="332" spans="1:9" ht="12.75" x14ac:dyDescent="0.2">
      <c r="A332" s="109">
        <v>53982006</v>
      </c>
      <c r="B332" s="80" t="s">
        <v>14</v>
      </c>
      <c r="C332" s="82" t="s">
        <v>704</v>
      </c>
      <c r="D332" s="28"/>
      <c r="E332" s="88">
        <f t="shared" si="0"/>
        <v>0</v>
      </c>
      <c r="F332" s="90"/>
      <c r="G332" s="88">
        <f t="shared" si="1"/>
        <v>0</v>
      </c>
      <c r="H332" s="82" t="s">
        <v>37</v>
      </c>
      <c r="I332" s="112" t="s">
        <v>51</v>
      </c>
    </row>
    <row r="333" spans="1:9" ht="12.75" x14ac:dyDescent="0.2">
      <c r="A333" s="109">
        <v>53982006</v>
      </c>
      <c r="B333" s="80" t="s">
        <v>14</v>
      </c>
      <c r="C333" s="82" t="s">
        <v>705</v>
      </c>
      <c r="D333" s="28"/>
      <c r="E333" s="88">
        <f t="shared" si="0"/>
        <v>0</v>
      </c>
      <c r="F333" s="90"/>
      <c r="G333" s="88">
        <f t="shared" si="1"/>
        <v>0</v>
      </c>
      <c r="H333" s="82" t="s">
        <v>37</v>
      </c>
      <c r="I333" s="112" t="s">
        <v>51</v>
      </c>
    </row>
    <row r="334" spans="1:9" ht="12.75" x14ac:dyDescent="0.2">
      <c r="A334" s="109">
        <v>53982006</v>
      </c>
      <c r="B334" s="80" t="s">
        <v>14</v>
      </c>
      <c r="C334" s="82" t="s">
        <v>706</v>
      </c>
      <c r="D334" s="28"/>
      <c r="E334" s="88">
        <f t="shared" si="0"/>
        <v>0</v>
      </c>
      <c r="F334" s="90"/>
      <c r="G334" s="88">
        <f t="shared" si="1"/>
        <v>0</v>
      </c>
      <c r="H334" s="82" t="s">
        <v>37</v>
      </c>
      <c r="I334" s="112" t="s">
        <v>51</v>
      </c>
    </row>
    <row r="335" spans="1:9" ht="12.75" x14ac:dyDescent="0.2">
      <c r="A335" s="109">
        <v>53982006</v>
      </c>
      <c r="B335" s="80" t="s">
        <v>14</v>
      </c>
      <c r="C335" s="82" t="s">
        <v>707</v>
      </c>
      <c r="D335" s="28"/>
      <c r="E335" s="88">
        <f t="shared" si="0"/>
        <v>0</v>
      </c>
      <c r="F335" s="90"/>
      <c r="G335" s="88">
        <f t="shared" si="1"/>
        <v>0</v>
      </c>
      <c r="H335" s="82" t="s">
        <v>37</v>
      </c>
      <c r="I335" s="112" t="s">
        <v>51</v>
      </c>
    </row>
    <row r="336" spans="1:9" ht="12.75" x14ac:dyDescent="0.2">
      <c r="A336" s="109">
        <v>53982006</v>
      </c>
      <c r="B336" s="80" t="s">
        <v>14</v>
      </c>
      <c r="C336" s="82" t="s">
        <v>708</v>
      </c>
      <c r="D336" s="28"/>
      <c r="E336" s="88">
        <f t="shared" si="0"/>
        <v>0</v>
      </c>
      <c r="F336" s="90"/>
      <c r="G336" s="88">
        <f t="shared" si="1"/>
        <v>0</v>
      </c>
      <c r="H336" s="82" t="s">
        <v>37</v>
      </c>
      <c r="I336" s="112" t="s">
        <v>51</v>
      </c>
    </row>
    <row r="337" spans="1:9" ht="12.75" x14ac:dyDescent="0.2">
      <c r="A337" s="109">
        <v>53982006</v>
      </c>
      <c r="B337" s="80" t="s">
        <v>14</v>
      </c>
      <c r="C337" s="82" t="s">
        <v>709</v>
      </c>
      <c r="D337" s="28"/>
      <c r="E337" s="88">
        <f t="shared" si="0"/>
        <v>0</v>
      </c>
      <c r="F337" s="90"/>
      <c r="G337" s="88">
        <f t="shared" si="1"/>
        <v>0</v>
      </c>
      <c r="H337" s="82" t="s">
        <v>37</v>
      </c>
      <c r="I337" s="112" t="s">
        <v>51</v>
      </c>
    </row>
    <row r="338" spans="1:9" ht="12.75" x14ac:dyDescent="0.2">
      <c r="A338" s="109">
        <v>53982006</v>
      </c>
      <c r="B338" s="80" t="s">
        <v>14</v>
      </c>
      <c r="C338" s="82" t="s">
        <v>711</v>
      </c>
      <c r="D338" s="28"/>
      <c r="E338" s="88">
        <f t="shared" si="0"/>
        <v>0</v>
      </c>
      <c r="F338" s="90"/>
      <c r="G338" s="88">
        <f t="shared" si="1"/>
        <v>0</v>
      </c>
      <c r="H338" s="82" t="s">
        <v>37</v>
      </c>
      <c r="I338" s="112" t="s">
        <v>51</v>
      </c>
    </row>
    <row r="339" spans="1:9" ht="12.75" x14ac:dyDescent="0.2">
      <c r="A339" s="109">
        <v>53982006</v>
      </c>
      <c r="B339" s="80" t="s">
        <v>14</v>
      </c>
      <c r="C339" s="82" t="s">
        <v>713</v>
      </c>
      <c r="D339" s="28"/>
      <c r="E339" s="88">
        <f t="shared" si="0"/>
        <v>0</v>
      </c>
      <c r="F339" s="90"/>
      <c r="G339" s="88">
        <f t="shared" si="1"/>
        <v>0</v>
      </c>
      <c r="H339" s="82" t="s">
        <v>37</v>
      </c>
      <c r="I339" s="112" t="s">
        <v>51</v>
      </c>
    </row>
    <row r="340" spans="1:9" ht="12.75" x14ac:dyDescent="0.2">
      <c r="A340" s="109">
        <v>53982006</v>
      </c>
      <c r="B340" s="80" t="s">
        <v>14</v>
      </c>
      <c r="C340" s="82" t="s">
        <v>714</v>
      </c>
      <c r="D340" s="28"/>
      <c r="E340" s="88">
        <f t="shared" si="0"/>
        <v>0</v>
      </c>
      <c r="F340" s="90"/>
      <c r="G340" s="88">
        <f t="shared" si="1"/>
        <v>0</v>
      </c>
      <c r="H340" s="82" t="s">
        <v>37</v>
      </c>
      <c r="I340" s="112" t="s">
        <v>51</v>
      </c>
    </row>
    <row r="341" spans="1:9" ht="12.75" x14ac:dyDescent="0.2">
      <c r="A341" s="109">
        <v>53982006</v>
      </c>
      <c r="B341" s="80" t="s">
        <v>14</v>
      </c>
      <c r="C341" s="82" t="s">
        <v>715</v>
      </c>
      <c r="D341" s="28"/>
      <c r="E341" s="88">
        <f t="shared" si="0"/>
        <v>0</v>
      </c>
      <c r="F341" s="90"/>
      <c r="G341" s="88">
        <f t="shared" si="1"/>
        <v>0</v>
      </c>
      <c r="H341" s="82" t="s">
        <v>37</v>
      </c>
      <c r="I341" s="112" t="s">
        <v>51</v>
      </c>
    </row>
    <row r="342" spans="1:9" ht="12.75" x14ac:dyDescent="0.2">
      <c r="A342" s="109">
        <v>53982006</v>
      </c>
      <c r="B342" s="80" t="s">
        <v>14</v>
      </c>
      <c r="C342" s="82" t="s">
        <v>716</v>
      </c>
      <c r="D342" s="28"/>
      <c r="E342" s="88">
        <f t="shared" si="0"/>
        <v>0</v>
      </c>
      <c r="F342" s="90"/>
      <c r="G342" s="88">
        <f t="shared" si="1"/>
        <v>0</v>
      </c>
      <c r="H342" s="82" t="s">
        <v>37</v>
      </c>
      <c r="I342" s="112" t="s">
        <v>51</v>
      </c>
    </row>
    <row r="343" spans="1:9" ht="12.75" x14ac:dyDescent="0.2">
      <c r="A343" s="109">
        <v>53982006</v>
      </c>
      <c r="B343" s="80" t="s">
        <v>14</v>
      </c>
      <c r="C343" s="82" t="s">
        <v>717</v>
      </c>
      <c r="D343" s="28"/>
      <c r="E343" s="88">
        <f t="shared" si="0"/>
        <v>0</v>
      </c>
      <c r="F343" s="90"/>
      <c r="G343" s="88">
        <f t="shared" si="1"/>
        <v>0</v>
      </c>
      <c r="H343" s="82" t="s">
        <v>37</v>
      </c>
      <c r="I343" s="112" t="s">
        <v>51</v>
      </c>
    </row>
    <row r="344" spans="1:9" ht="12.75" x14ac:dyDescent="0.2">
      <c r="A344" s="116">
        <v>53982006</v>
      </c>
      <c r="B344" s="20" t="s">
        <v>14</v>
      </c>
      <c r="C344" s="21" t="s">
        <v>718</v>
      </c>
      <c r="D344" s="101"/>
      <c r="E344" s="103">
        <f t="shared" si="0"/>
        <v>0</v>
      </c>
      <c r="F344" s="24"/>
      <c r="G344" s="103">
        <f t="shared" si="1"/>
        <v>0</v>
      </c>
      <c r="H344" s="21" t="s">
        <v>37</v>
      </c>
      <c r="I344" s="120" t="s">
        <v>51</v>
      </c>
    </row>
    <row r="345" spans="1:9" ht="12.75" x14ac:dyDescent="0.2">
      <c r="A345" s="145">
        <v>48332005</v>
      </c>
      <c r="B345" s="6" t="s">
        <v>14</v>
      </c>
      <c r="C345" s="146" t="s">
        <v>719</v>
      </c>
      <c r="D345" s="147">
        <v>1708.04</v>
      </c>
      <c r="E345" s="113">
        <f t="shared" si="0"/>
        <v>170.804</v>
      </c>
      <c r="F345" s="10"/>
      <c r="G345" s="113">
        <f t="shared" si="1"/>
        <v>0</v>
      </c>
      <c r="H345" s="7" t="s">
        <v>73</v>
      </c>
      <c r="I345" s="148" t="s">
        <v>51</v>
      </c>
    </row>
    <row r="346" spans="1:9" ht="12.75" x14ac:dyDescent="0.2">
      <c r="A346" s="202">
        <v>46932005</v>
      </c>
      <c r="B346" s="203" t="s">
        <v>14</v>
      </c>
      <c r="C346" s="204" t="s">
        <v>720</v>
      </c>
      <c r="D346" s="205">
        <v>4104.09</v>
      </c>
      <c r="E346" s="206">
        <f t="shared" si="0"/>
        <v>410.40900000000005</v>
      </c>
      <c r="F346" s="207"/>
      <c r="G346" s="206">
        <f t="shared" si="1"/>
        <v>0</v>
      </c>
      <c r="H346" s="208" t="s">
        <v>42</v>
      </c>
      <c r="I346" s="209" t="s">
        <v>51</v>
      </c>
    </row>
    <row r="347" spans="1:9" ht="12.75" x14ac:dyDescent="0.2">
      <c r="A347" s="44">
        <v>235042008</v>
      </c>
      <c r="B347" s="13" t="s">
        <v>14</v>
      </c>
      <c r="C347" s="172" t="s">
        <v>622</v>
      </c>
      <c r="D347" s="100"/>
      <c r="E347" s="46">
        <f t="shared" si="0"/>
        <v>0</v>
      </c>
      <c r="F347" s="17">
        <v>0.05</v>
      </c>
      <c r="G347" s="46">
        <f t="shared" si="1"/>
        <v>0</v>
      </c>
      <c r="H347" s="14" t="s">
        <v>50</v>
      </c>
      <c r="I347" s="49" t="s">
        <v>51</v>
      </c>
    </row>
    <row r="348" spans="1:9" ht="12.75" x14ac:dyDescent="0.2">
      <c r="A348" s="116">
        <v>235042008</v>
      </c>
      <c r="B348" s="20" t="s">
        <v>14</v>
      </c>
      <c r="C348" s="21" t="s">
        <v>613</v>
      </c>
      <c r="D348" s="101"/>
      <c r="E348" s="103">
        <f t="shared" si="0"/>
        <v>0</v>
      </c>
      <c r="F348" s="24">
        <v>0.05</v>
      </c>
      <c r="G348" s="103">
        <f t="shared" si="1"/>
        <v>0</v>
      </c>
      <c r="H348" s="21" t="s">
        <v>50</v>
      </c>
      <c r="I348" s="120" t="s">
        <v>51</v>
      </c>
    </row>
    <row r="349" spans="1:9" ht="12.75" x14ac:dyDescent="0.2">
      <c r="A349" s="44">
        <v>184252008</v>
      </c>
      <c r="B349" s="13" t="s">
        <v>14</v>
      </c>
      <c r="C349" s="14" t="s">
        <v>730</v>
      </c>
      <c r="D349" s="15">
        <v>2302.87</v>
      </c>
      <c r="E349" s="46">
        <f t="shared" si="0"/>
        <v>209.35181818181815</v>
      </c>
      <c r="F349" s="17">
        <v>0.1</v>
      </c>
      <c r="G349" s="48">
        <f t="shared" si="1"/>
        <v>209.35181818181854</v>
      </c>
      <c r="H349" s="14" t="s">
        <v>52</v>
      </c>
      <c r="I349" s="49" t="s">
        <v>51</v>
      </c>
    </row>
    <row r="350" spans="1:9" ht="12.75" x14ac:dyDescent="0.2">
      <c r="A350" s="109">
        <v>184252008</v>
      </c>
      <c r="B350" s="26" t="s">
        <v>14</v>
      </c>
      <c r="C350" s="82" t="s">
        <v>733</v>
      </c>
      <c r="D350" s="134">
        <v>1947.97</v>
      </c>
      <c r="E350" s="88">
        <f t="shared" si="0"/>
        <v>177.08818181818182</v>
      </c>
      <c r="F350" s="90">
        <v>0.1</v>
      </c>
      <c r="G350" s="92">
        <f t="shared" si="1"/>
        <v>177.08818181818197</v>
      </c>
      <c r="H350" s="82" t="s">
        <v>41</v>
      </c>
      <c r="I350" s="112" t="s">
        <v>51</v>
      </c>
    </row>
    <row r="351" spans="1:9" ht="12.75" x14ac:dyDescent="0.2">
      <c r="A351" s="109">
        <v>184252008</v>
      </c>
      <c r="B351" s="26" t="s">
        <v>14</v>
      </c>
      <c r="C351" s="82" t="s">
        <v>736</v>
      </c>
      <c r="D351" s="28">
        <f>1331.33+2088.43</f>
        <v>3419.7599999999998</v>
      </c>
      <c r="E351" s="88">
        <f t="shared" si="0"/>
        <v>310.88727272727272</v>
      </c>
      <c r="F351" s="90">
        <v>0.1</v>
      </c>
      <c r="G351" s="88">
        <f t="shared" si="1"/>
        <v>310.88727272727283</v>
      </c>
      <c r="H351" s="82" t="s">
        <v>50</v>
      </c>
      <c r="I351" s="112" t="s">
        <v>51</v>
      </c>
    </row>
    <row r="352" spans="1:9" ht="12.75" x14ac:dyDescent="0.2">
      <c r="A352" s="109">
        <v>184252008</v>
      </c>
      <c r="B352" s="26" t="s">
        <v>14</v>
      </c>
      <c r="C352" s="82" t="s">
        <v>740</v>
      </c>
      <c r="D352" s="134">
        <v>1565.29</v>
      </c>
      <c r="E352" s="88">
        <f t="shared" si="0"/>
        <v>142.29909090909089</v>
      </c>
      <c r="F352" s="90">
        <v>0.1</v>
      </c>
      <c r="G352" s="88">
        <f t="shared" si="1"/>
        <v>142.29909090909109</v>
      </c>
      <c r="H352" s="82" t="s">
        <v>50</v>
      </c>
      <c r="I352" s="112" t="s">
        <v>51</v>
      </c>
    </row>
    <row r="353" spans="1:9" ht="12.75" x14ac:dyDescent="0.2">
      <c r="A353" s="109">
        <v>184252008</v>
      </c>
      <c r="B353" s="26" t="s">
        <v>14</v>
      </c>
      <c r="C353" s="82" t="s">
        <v>744</v>
      </c>
      <c r="D353" s="134">
        <v>873.5</v>
      </c>
      <c r="E353" s="88">
        <f t="shared" si="0"/>
        <v>79.409090909090907</v>
      </c>
      <c r="F353" s="90">
        <v>0.1</v>
      </c>
      <c r="G353" s="92">
        <f t="shared" si="1"/>
        <v>79.409090909090992</v>
      </c>
      <c r="H353" s="82" t="s">
        <v>52</v>
      </c>
      <c r="I353" s="112" t="s">
        <v>51</v>
      </c>
    </row>
    <row r="354" spans="1:9" ht="12.75" x14ac:dyDescent="0.2">
      <c r="A354" s="109">
        <v>184252008</v>
      </c>
      <c r="B354" s="26" t="s">
        <v>14</v>
      </c>
      <c r="C354" s="82" t="s">
        <v>746</v>
      </c>
      <c r="D354" s="134">
        <v>4011.81</v>
      </c>
      <c r="E354" s="88">
        <f t="shared" si="0"/>
        <v>364.71</v>
      </c>
      <c r="F354" s="90">
        <v>0.1</v>
      </c>
      <c r="G354" s="92">
        <f t="shared" si="1"/>
        <v>364.71000000000049</v>
      </c>
      <c r="H354" s="82" t="s">
        <v>52</v>
      </c>
      <c r="I354" s="112" t="s">
        <v>51</v>
      </c>
    </row>
    <row r="355" spans="1:9" ht="12.75" x14ac:dyDescent="0.2">
      <c r="A355" s="109">
        <v>184252008</v>
      </c>
      <c r="B355" s="26" t="s">
        <v>14</v>
      </c>
      <c r="C355" s="82" t="s">
        <v>748</v>
      </c>
      <c r="D355" s="134">
        <v>4705.8999999999996</v>
      </c>
      <c r="E355" s="88">
        <f t="shared" si="0"/>
        <v>427.80909090909086</v>
      </c>
      <c r="F355" s="90">
        <v>0.1</v>
      </c>
      <c r="G355" s="92">
        <f t="shared" si="1"/>
        <v>427.80909090909154</v>
      </c>
      <c r="H355" s="82" t="s">
        <v>52</v>
      </c>
      <c r="I355" s="112" t="s">
        <v>51</v>
      </c>
    </row>
    <row r="356" spans="1:9" ht="12.75" x14ac:dyDescent="0.2">
      <c r="A356" s="109">
        <v>184252008</v>
      </c>
      <c r="B356" s="26" t="s">
        <v>14</v>
      </c>
      <c r="C356" s="82" t="s">
        <v>750</v>
      </c>
      <c r="D356" s="134">
        <v>4556.4399999999996</v>
      </c>
      <c r="E356" s="88">
        <f t="shared" si="0"/>
        <v>414.22181818181809</v>
      </c>
      <c r="F356" s="90">
        <v>0.1</v>
      </c>
      <c r="G356" s="92">
        <f t="shared" si="1"/>
        <v>414.22181818181889</v>
      </c>
      <c r="H356" s="82" t="s">
        <v>52</v>
      </c>
      <c r="I356" s="112" t="s">
        <v>51</v>
      </c>
    </row>
    <row r="357" spans="1:9" ht="12.75" x14ac:dyDescent="0.2">
      <c r="A357" s="109">
        <v>184252008</v>
      </c>
      <c r="B357" s="26" t="s">
        <v>14</v>
      </c>
      <c r="C357" s="82" t="s">
        <v>752</v>
      </c>
      <c r="D357" s="134">
        <v>1800.84</v>
      </c>
      <c r="E357" s="88">
        <f t="shared" si="0"/>
        <v>163.71272727272728</v>
      </c>
      <c r="F357" s="90">
        <v>0.1</v>
      </c>
      <c r="G357" s="92">
        <f t="shared" si="1"/>
        <v>163.71272727272731</v>
      </c>
      <c r="H357" s="82" t="s">
        <v>52</v>
      </c>
      <c r="I357" s="112" t="s">
        <v>51</v>
      </c>
    </row>
    <row r="358" spans="1:9" ht="12.75" x14ac:dyDescent="0.2">
      <c r="A358" s="109">
        <v>184252008</v>
      </c>
      <c r="B358" s="26" t="s">
        <v>14</v>
      </c>
      <c r="C358" s="82" t="s">
        <v>754</v>
      </c>
      <c r="D358" s="134">
        <v>1875.06</v>
      </c>
      <c r="E358" s="88">
        <f t="shared" si="0"/>
        <v>170.46</v>
      </c>
      <c r="F358" s="90">
        <v>0.1</v>
      </c>
      <c r="G358" s="92">
        <f t="shared" si="1"/>
        <v>170.46000000000004</v>
      </c>
      <c r="H358" s="82" t="s">
        <v>52</v>
      </c>
      <c r="I358" s="112" t="s">
        <v>51</v>
      </c>
    </row>
    <row r="359" spans="1:9" ht="12.75" x14ac:dyDescent="0.2">
      <c r="A359" s="109">
        <v>184252008</v>
      </c>
      <c r="B359" s="26" t="s">
        <v>14</v>
      </c>
      <c r="C359" s="82" t="s">
        <v>756</v>
      </c>
      <c r="D359" s="134">
        <v>4237.79</v>
      </c>
      <c r="E359" s="88">
        <f t="shared" si="0"/>
        <v>385.25363636363636</v>
      </c>
      <c r="F359" s="90">
        <v>0.1</v>
      </c>
      <c r="G359" s="88">
        <f t="shared" si="1"/>
        <v>385.25363636363682</v>
      </c>
      <c r="H359" s="82" t="s">
        <v>50</v>
      </c>
      <c r="I359" s="112" t="s">
        <v>51</v>
      </c>
    </row>
    <row r="360" spans="1:9" ht="12.75" x14ac:dyDescent="0.2">
      <c r="A360" s="109">
        <v>184252008</v>
      </c>
      <c r="B360" s="26" t="s">
        <v>14</v>
      </c>
      <c r="C360" s="82" t="s">
        <v>757</v>
      </c>
      <c r="D360" s="134">
        <v>18004.009999999998</v>
      </c>
      <c r="E360" s="88">
        <f t="shared" si="0"/>
        <v>1636.7281818181816</v>
      </c>
      <c r="F360" s="90">
        <v>0.1</v>
      </c>
      <c r="G360" s="92">
        <f t="shared" si="1"/>
        <v>1636.7281818181837</v>
      </c>
      <c r="H360" s="82" t="s">
        <v>52</v>
      </c>
      <c r="I360" s="112" t="s">
        <v>51</v>
      </c>
    </row>
    <row r="361" spans="1:9" ht="12.75" x14ac:dyDescent="0.2">
      <c r="A361" s="109">
        <v>184252008</v>
      </c>
      <c r="B361" s="26" t="s">
        <v>14</v>
      </c>
      <c r="C361" s="82" t="s">
        <v>758</v>
      </c>
      <c r="D361" s="134">
        <v>8595.0400000000009</v>
      </c>
      <c r="E361" s="88">
        <f t="shared" si="0"/>
        <v>781.36727272727285</v>
      </c>
      <c r="F361" s="90">
        <v>0.1</v>
      </c>
      <c r="G361" s="88">
        <f t="shared" si="1"/>
        <v>781.3672727272733</v>
      </c>
      <c r="H361" s="82" t="s">
        <v>50</v>
      </c>
      <c r="I361" s="112" t="s">
        <v>51</v>
      </c>
    </row>
    <row r="362" spans="1:9" ht="12.75" x14ac:dyDescent="0.2">
      <c r="A362" s="109">
        <v>184252008</v>
      </c>
      <c r="B362" s="26" t="s">
        <v>14</v>
      </c>
      <c r="C362" s="82" t="s">
        <v>759</v>
      </c>
      <c r="D362" s="134">
        <v>3412.1</v>
      </c>
      <c r="E362" s="88">
        <f t="shared" si="0"/>
        <v>310.19090909090909</v>
      </c>
      <c r="F362" s="90">
        <v>0.1</v>
      </c>
      <c r="G362" s="92">
        <f t="shared" si="1"/>
        <v>310.19090909090937</v>
      </c>
      <c r="H362" s="82" t="s">
        <v>52</v>
      </c>
      <c r="I362" s="112" t="s">
        <v>51</v>
      </c>
    </row>
    <row r="363" spans="1:9" ht="12.75" x14ac:dyDescent="0.2">
      <c r="A363" s="210">
        <v>184252008</v>
      </c>
      <c r="B363" s="211" t="s">
        <v>14</v>
      </c>
      <c r="C363" s="212" t="s">
        <v>760</v>
      </c>
      <c r="D363" s="213">
        <v>7035.25</v>
      </c>
      <c r="E363" s="214">
        <f t="shared" si="0"/>
        <v>639.56818181818187</v>
      </c>
      <c r="F363" s="215">
        <v>0.1</v>
      </c>
      <c r="G363" s="216">
        <f t="shared" si="1"/>
        <v>639.56818181818198</v>
      </c>
      <c r="H363" s="212" t="s">
        <v>52</v>
      </c>
      <c r="I363" s="217" t="s">
        <v>51</v>
      </c>
    </row>
    <row r="364" spans="1:9" ht="12.75" x14ac:dyDescent="0.2">
      <c r="A364" s="44">
        <v>87912006</v>
      </c>
      <c r="B364" s="13" t="s">
        <v>14</v>
      </c>
      <c r="C364" s="14" t="s">
        <v>761</v>
      </c>
      <c r="D364" s="100"/>
      <c r="E364" s="46">
        <f t="shared" si="0"/>
        <v>0</v>
      </c>
      <c r="F364" s="17">
        <v>0.2</v>
      </c>
      <c r="G364" s="46">
        <f t="shared" si="1"/>
        <v>0</v>
      </c>
      <c r="H364" s="14" t="s">
        <v>52</v>
      </c>
      <c r="I364" s="49" t="s">
        <v>51</v>
      </c>
    </row>
    <row r="365" spans="1:9" ht="12.75" x14ac:dyDescent="0.2">
      <c r="A365" s="51">
        <v>87912006</v>
      </c>
      <c r="B365" s="31" t="s">
        <v>14</v>
      </c>
      <c r="C365" s="53" t="s">
        <v>762</v>
      </c>
      <c r="D365" s="33"/>
      <c r="E365" s="56">
        <f t="shared" si="0"/>
        <v>0</v>
      </c>
      <c r="F365" s="57">
        <v>0.2</v>
      </c>
      <c r="G365" s="56">
        <f t="shared" si="1"/>
        <v>0</v>
      </c>
      <c r="H365" s="53" t="s">
        <v>315</v>
      </c>
      <c r="I365" s="66" t="s">
        <v>51</v>
      </c>
    </row>
    <row r="366" spans="1:9" ht="12.75" x14ac:dyDescent="0.2">
      <c r="A366" s="51">
        <v>87912006</v>
      </c>
      <c r="B366" s="31" t="s">
        <v>14</v>
      </c>
      <c r="C366" s="53" t="s">
        <v>763</v>
      </c>
      <c r="D366" s="33"/>
      <c r="E366" s="56">
        <f t="shared" si="0"/>
        <v>0</v>
      </c>
      <c r="F366" s="57">
        <v>0.2</v>
      </c>
      <c r="G366" s="56">
        <f t="shared" si="1"/>
        <v>0</v>
      </c>
      <c r="H366" s="53" t="s">
        <v>315</v>
      </c>
      <c r="I366" s="66" t="s">
        <v>51</v>
      </c>
    </row>
    <row r="367" spans="1:9" ht="12.75" x14ac:dyDescent="0.2">
      <c r="A367" s="51">
        <v>87912006</v>
      </c>
      <c r="B367" s="31" t="s">
        <v>14</v>
      </c>
      <c r="C367" s="53" t="s">
        <v>764</v>
      </c>
      <c r="D367" s="33"/>
      <c r="E367" s="56">
        <f t="shared" si="0"/>
        <v>0</v>
      </c>
      <c r="F367" s="57">
        <v>0.2</v>
      </c>
      <c r="G367" s="56">
        <f t="shared" si="1"/>
        <v>0</v>
      </c>
      <c r="H367" s="53" t="s">
        <v>52</v>
      </c>
      <c r="I367" s="66" t="s">
        <v>51</v>
      </c>
    </row>
    <row r="368" spans="1:9" ht="12.75" x14ac:dyDescent="0.2">
      <c r="A368" s="51">
        <v>87912006</v>
      </c>
      <c r="B368" s="31" t="s">
        <v>14</v>
      </c>
      <c r="C368" s="53" t="s">
        <v>765</v>
      </c>
      <c r="D368" s="33"/>
      <c r="E368" s="56">
        <f t="shared" si="0"/>
        <v>0</v>
      </c>
      <c r="F368" s="57">
        <v>0.2</v>
      </c>
      <c r="G368" s="56">
        <f t="shared" si="1"/>
        <v>0</v>
      </c>
      <c r="H368" s="53" t="s">
        <v>52</v>
      </c>
      <c r="I368" s="66" t="s">
        <v>51</v>
      </c>
    </row>
    <row r="369" spans="1:9" ht="12.75" x14ac:dyDescent="0.2">
      <c r="A369" s="51">
        <v>87912006</v>
      </c>
      <c r="B369" s="31" t="s">
        <v>14</v>
      </c>
      <c r="C369" s="53" t="s">
        <v>766</v>
      </c>
      <c r="D369" s="33"/>
      <c r="E369" s="56">
        <f t="shared" si="0"/>
        <v>0</v>
      </c>
      <c r="F369" s="57">
        <v>0.2</v>
      </c>
      <c r="G369" s="56">
        <f t="shared" si="1"/>
        <v>0</v>
      </c>
      <c r="H369" s="53" t="s">
        <v>315</v>
      </c>
      <c r="I369" s="66" t="s">
        <v>51</v>
      </c>
    </row>
    <row r="370" spans="1:9" ht="12.75" x14ac:dyDescent="0.2">
      <c r="A370" s="51">
        <v>87912006</v>
      </c>
      <c r="B370" s="31" t="s">
        <v>14</v>
      </c>
      <c r="C370" s="53" t="s">
        <v>767</v>
      </c>
      <c r="D370" s="33"/>
      <c r="E370" s="56">
        <f t="shared" si="0"/>
        <v>0</v>
      </c>
      <c r="F370" s="57">
        <v>0.2</v>
      </c>
      <c r="G370" s="56">
        <f t="shared" si="1"/>
        <v>0</v>
      </c>
      <c r="H370" s="53" t="s">
        <v>315</v>
      </c>
      <c r="I370" s="66" t="s">
        <v>51</v>
      </c>
    </row>
    <row r="371" spans="1:9" ht="12.75" x14ac:dyDescent="0.2">
      <c r="A371" s="51">
        <v>87912006</v>
      </c>
      <c r="B371" s="31" t="s">
        <v>14</v>
      </c>
      <c r="C371" s="53" t="s">
        <v>768</v>
      </c>
      <c r="D371" s="33"/>
      <c r="E371" s="56">
        <f t="shared" si="0"/>
        <v>0</v>
      </c>
      <c r="F371" s="57">
        <v>0.2</v>
      </c>
      <c r="G371" s="56">
        <f t="shared" si="1"/>
        <v>0</v>
      </c>
      <c r="H371" s="53" t="s">
        <v>52</v>
      </c>
      <c r="I371" s="66" t="s">
        <v>51</v>
      </c>
    </row>
    <row r="372" spans="1:9" ht="12.75" x14ac:dyDescent="0.2">
      <c r="A372" s="51">
        <v>87912006</v>
      </c>
      <c r="B372" s="31" t="s">
        <v>14</v>
      </c>
      <c r="C372" s="53" t="s">
        <v>769</v>
      </c>
      <c r="D372" s="33"/>
      <c r="E372" s="56">
        <f t="shared" si="0"/>
        <v>0</v>
      </c>
      <c r="F372" s="57">
        <v>0.2</v>
      </c>
      <c r="G372" s="56">
        <f t="shared" si="1"/>
        <v>0</v>
      </c>
      <c r="H372" s="53" t="s">
        <v>52</v>
      </c>
      <c r="I372" s="66" t="s">
        <v>51</v>
      </c>
    </row>
    <row r="373" spans="1:9" ht="12.75" x14ac:dyDescent="0.2">
      <c r="A373" s="51">
        <v>87912006</v>
      </c>
      <c r="B373" s="31" t="s">
        <v>14</v>
      </c>
      <c r="C373" s="53" t="s">
        <v>770</v>
      </c>
      <c r="D373" s="33"/>
      <c r="E373" s="56">
        <f t="shared" si="0"/>
        <v>0</v>
      </c>
      <c r="F373" s="57">
        <v>0.2</v>
      </c>
      <c r="G373" s="56">
        <f t="shared" si="1"/>
        <v>0</v>
      </c>
      <c r="H373" s="53" t="s">
        <v>315</v>
      </c>
      <c r="I373" s="66" t="s">
        <v>51</v>
      </c>
    </row>
    <row r="374" spans="1:9" ht="12.75" x14ac:dyDescent="0.2">
      <c r="A374" s="51">
        <v>87912006</v>
      </c>
      <c r="B374" s="31" t="s">
        <v>14</v>
      </c>
      <c r="C374" s="53" t="s">
        <v>771</v>
      </c>
      <c r="D374" s="33"/>
      <c r="E374" s="56">
        <f t="shared" si="0"/>
        <v>0</v>
      </c>
      <c r="F374" s="57">
        <v>0.2</v>
      </c>
      <c r="G374" s="56">
        <f t="shared" si="1"/>
        <v>0</v>
      </c>
      <c r="H374" s="53" t="s">
        <v>52</v>
      </c>
      <c r="I374" s="66" t="s">
        <v>51</v>
      </c>
    </row>
    <row r="375" spans="1:9" ht="12.75" x14ac:dyDescent="0.2">
      <c r="A375" s="51">
        <v>87912006</v>
      </c>
      <c r="B375" s="31" t="s">
        <v>14</v>
      </c>
      <c r="C375" s="53" t="s">
        <v>772</v>
      </c>
      <c r="D375" s="33"/>
      <c r="E375" s="56">
        <f t="shared" si="0"/>
        <v>0</v>
      </c>
      <c r="F375" s="57">
        <v>0.2</v>
      </c>
      <c r="G375" s="56">
        <f t="shared" si="1"/>
        <v>0</v>
      </c>
      <c r="H375" s="53" t="s">
        <v>315</v>
      </c>
      <c r="I375" s="66" t="s">
        <v>51</v>
      </c>
    </row>
    <row r="376" spans="1:9" ht="12.75" x14ac:dyDescent="0.2">
      <c r="A376" s="75">
        <v>87912006</v>
      </c>
      <c r="B376" s="77" t="s">
        <v>14</v>
      </c>
      <c r="C376" s="79" t="s">
        <v>773</v>
      </c>
      <c r="D376" s="218"/>
      <c r="E376" s="86">
        <f t="shared" si="0"/>
        <v>0</v>
      </c>
      <c r="F376" s="93">
        <v>0.2</v>
      </c>
      <c r="G376" s="86">
        <f t="shared" si="1"/>
        <v>0</v>
      </c>
      <c r="H376" s="79" t="s">
        <v>52</v>
      </c>
      <c r="I376" s="98" t="s">
        <v>51</v>
      </c>
    </row>
    <row r="377" spans="1:9" ht="12.75" x14ac:dyDescent="0.2">
      <c r="A377" s="44">
        <v>51582008</v>
      </c>
      <c r="B377" s="13" t="s">
        <v>14</v>
      </c>
      <c r="C377" s="14" t="s">
        <v>774</v>
      </c>
      <c r="D377" s="15">
        <v>2202.5100000000002</v>
      </c>
      <c r="E377" s="46">
        <f t="shared" si="0"/>
        <v>200.22818181818184</v>
      </c>
      <c r="F377" s="17">
        <v>0.1</v>
      </c>
      <c r="G377" s="46">
        <f t="shared" si="1"/>
        <v>200.22818181818207</v>
      </c>
      <c r="H377" s="14" t="s">
        <v>88</v>
      </c>
      <c r="I377" s="49" t="s">
        <v>51</v>
      </c>
    </row>
    <row r="378" spans="1:9" ht="12.75" x14ac:dyDescent="0.2">
      <c r="A378" s="51">
        <v>51582008</v>
      </c>
      <c r="B378" s="52" t="s">
        <v>14</v>
      </c>
      <c r="C378" s="53" t="s">
        <v>775</v>
      </c>
      <c r="D378" s="54">
        <v>19189.32</v>
      </c>
      <c r="E378" s="56">
        <f t="shared" si="0"/>
        <v>1744.4836363636362</v>
      </c>
      <c r="F378" s="57">
        <v>0.1</v>
      </c>
      <c r="G378" s="56">
        <f t="shared" si="1"/>
        <v>1744.4836363636387</v>
      </c>
      <c r="H378" s="53" t="s">
        <v>88</v>
      </c>
      <c r="I378" s="66" t="s">
        <v>51</v>
      </c>
    </row>
    <row r="379" spans="1:9" ht="12.75" x14ac:dyDescent="0.2">
      <c r="A379" s="51">
        <v>51582008</v>
      </c>
      <c r="B379" s="52" t="s">
        <v>14</v>
      </c>
      <c r="C379" s="53" t="s">
        <v>776</v>
      </c>
      <c r="D379" s="54">
        <v>7023.05</v>
      </c>
      <c r="E379" s="56">
        <f t="shared" si="0"/>
        <v>638.45909090909095</v>
      </c>
      <c r="F379" s="57">
        <v>0.1</v>
      </c>
      <c r="G379" s="56">
        <f t="shared" si="1"/>
        <v>638.45909090909117</v>
      </c>
      <c r="H379" s="53" t="s">
        <v>88</v>
      </c>
      <c r="I379" s="66" t="s">
        <v>51</v>
      </c>
    </row>
    <row r="380" spans="1:9" ht="12.75" x14ac:dyDescent="0.2">
      <c r="A380" s="51">
        <v>51582008</v>
      </c>
      <c r="B380" s="52" t="s">
        <v>14</v>
      </c>
      <c r="C380" s="53" t="s">
        <v>777</v>
      </c>
      <c r="D380" s="54">
        <v>7023.05</v>
      </c>
      <c r="E380" s="56">
        <f t="shared" si="0"/>
        <v>638.45909090909095</v>
      </c>
      <c r="F380" s="57">
        <v>0.1</v>
      </c>
      <c r="G380" s="56">
        <f t="shared" si="1"/>
        <v>638.45909090909117</v>
      </c>
      <c r="H380" s="53" t="s">
        <v>88</v>
      </c>
      <c r="I380" s="66" t="s">
        <v>51</v>
      </c>
    </row>
    <row r="381" spans="1:9" ht="12.75" x14ac:dyDescent="0.2">
      <c r="A381" s="51">
        <v>51582008</v>
      </c>
      <c r="B381" s="52" t="s">
        <v>14</v>
      </c>
      <c r="C381" s="53" t="s">
        <v>778</v>
      </c>
      <c r="D381" s="54">
        <v>2285.58</v>
      </c>
      <c r="E381" s="56">
        <f t="shared" si="0"/>
        <v>207.77999999999997</v>
      </c>
      <c r="F381" s="57">
        <v>0.1</v>
      </c>
      <c r="G381" s="56">
        <f t="shared" si="1"/>
        <v>207.7800000000002</v>
      </c>
      <c r="H381" s="53" t="s">
        <v>88</v>
      </c>
      <c r="I381" s="66" t="s">
        <v>51</v>
      </c>
    </row>
    <row r="382" spans="1:9" ht="12.75" x14ac:dyDescent="0.2">
      <c r="A382" s="51">
        <v>51582008</v>
      </c>
      <c r="B382" s="52" t="s">
        <v>14</v>
      </c>
      <c r="C382" s="53" t="s">
        <v>779</v>
      </c>
      <c r="D382" s="54">
        <v>2411.2800000000002</v>
      </c>
      <c r="E382" s="56">
        <f t="shared" si="0"/>
        <v>219.20727272727274</v>
      </c>
      <c r="F382" s="57">
        <v>0.1</v>
      </c>
      <c r="G382" s="56">
        <f t="shared" si="1"/>
        <v>219.20727272727299</v>
      </c>
      <c r="H382" s="53" t="s">
        <v>88</v>
      </c>
      <c r="I382" s="66" t="s">
        <v>51</v>
      </c>
    </row>
    <row r="383" spans="1:9" ht="12.75" x14ac:dyDescent="0.2">
      <c r="A383" s="51">
        <v>51582008</v>
      </c>
      <c r="B383" s="52" t="s">
        <v>14</v>
      </c>
      <c r="C383" s="53" t="s">
        <v>780</v>
      </c>
      <c r="D383" s="54">
        <v>4244.3500000000004</v>
      </c>
      <c r="E383" s="56">
        <f t="shared" si="0"/>
        <v>385.85</v>
      </c>
      <c r="F383" s="57">
        <v>0.1</v>
      </c>
      <c r="G383" s="56">
        <f t="shared" si="1"/>
        <v>385.85000000000036</v>
      </c>
      <c r="H383" s="53" t="s">
        <v>88</v>
      </c>
      <c r="I383" s="66" t="s">
        <v>51</v>
      </c>
    </row>
    <row r="384" spans="1:9" ht="12.75" x14ac:dyDescent="0.2">
      <c r="A384" s="51">
        <v>51582008</v>
      </c>
      <c r="B384" s="52" t="s">
        <v>14</v>
      </c>
      <c r="C384" s="53" t="s">
        <v>781</v>
      </c>
      <c r="D384" s="54">
        <v>11634.06</v>
      </c>
      <c r="E384" s="56">
        <f t="shared" si="0"/>
        <v>1057.6418181818181</v>
      </c>
      <c r="F384" s="57">
        <v>0.1</v>
      </c>
      <c r="G384" s="56">
        <f t="shared" si="1"/>
        <v>1057.641818181819</v>
      </c>
      <c r="H384" s="53" t="s">
        <v>88</v>
      </c>
      <c r="I384" s="66" t="s">
        <v>51</v>
      </c>
    </row>
    <row r="385" spans="1:9" ht="12.75" x14ac:dyDescent="0.2">
      <c r="A385" s="51">
        <v>51582008</v>
      </c>
      <c r="B385" s="52" t="s">
        <v>14</v>
      </c>
      <c r="C385" s="53" t="s">
        <v>782</v>
      </c>
      <c r="D385" s="54">
        <v>3545.92</v>
      </c>
      <c r="E385" s="56">
        <f t="shared" si="0"/>
        <v>322.35636363636365</v>
      </c>
      <c r="F385" s="57">
        <v>0.1</v>
      </c>
      <c r="G385" s="56">
        <f t="shared" si="1"/>
        <v>322.35636363636377</v>
      </c>
      <c r="H385" s="53" t="s">
        <v>88</v>
      </c>
      <c r="I385" s="66" t="s">
        <v>51</v>
      </c>
    </row>
    <row r="386" spans="1:9" ht="12.75" x14ac:dyDescent="0.2">
      <c r="A386" s="51">
        <v>51582008</v>
      </c>
      <c r="B386" s="52" t="s">
        <v>14</v>
      </c>
      <c r="C386" s="53" t="s">
        <v>783</v>
      </c>
      <c r="D386" s="54">
        <v>2551.16</v>
      </c>
      <c r="E386" s="56">
        <f t="shared" si="0"/>
        <v>231.92363636363635</v>
      </c>
      <c r="F386" s="57">
        <v>0.1</v>
      </c>
      <c r="G386" s="56">
        <f t="shared" si="1"/>
        <v>231.92363636363643</v>
      </c>
      <c r="H386" s="53" t="s">
        <v>88</v>
      </c>
      <c r="I386" s="66" t="s">
        <v>51</v>
      </c>
    </row>
    <row r="387" spans="1:9" ht="12.75" x14ac:dyDescent="0.2">
      <c r="A387" s="51">
        <v>51582008</v>
      </c>
      <c r="B387" s="52" t="s">
        <v>14</v>
      </c>
      <c r="C387" s="53" t="s">
        <v>784</v>
      </c>
      <c r="D387" s="54">
        <v>2834.98</v>
      </c>
      <c r="E387" s="56">
        <f t="shared" si="0"/>
        <v>257.72545454545451</v>
      </c>
      <c r="F387" s="57">
        <v>0.1</v>
      </c>
      <c r="G387" s="56">
        <f t="shared" si="1"/>
        <v>257.7254545454548</v>
      </c>
      <c r="H387" s="53" t="s">
        <v>88</v>
      </c>
      <c r="I387" s="66" t="s">
        <v>51</v>
      </c>
    </row>
    <row r="388" spans="1:9" ht="12.75" x14ac:dyDescent="0.2">
      <c r="A388" s="51">
        <v>51582008</v>
      </c>
      <c r="B388" s="52" t="s">
        <v>14</v>
      </c>
      <c r="C388" s="53" t="s">
        <v>785</v>
      </c>
      <c r="D388" s="54">
        <v>2618.4299999999998</v>
      </c>
      <c r="E388" s="56">
        <f t="shared" si="0"/>
        <v>238.03909090909087</v>
      </c>
      <c r="F388" s="57">
        <v>0.1</v>
      </c>
      <c r="G388" s="56">
        <f t="shared" si="1"/>
        <v>238.0390909090911</v>
      </c>
      <c r="H388" s="53" t="s">
        <v>88</v>
      </c>
      <c r="I388" s="66" t="s">
        <v>51</v>
      </c>
    </row>
    <row r="389" spans="1:9" ht="12.75" x14ac:dyDescent="0.2">
      <c r="A389" s="51">
        <v>51582008</v>
      </c>
      <c r="B389" s="52" t="s">
        <v>14</v>
      </c>
      <c r="C389" s="53" t="s">
        <v>786</v>
      </c>
      <c r="D389" s="54">
        <v>2665.38</v>
      </c>
      <c r="E389" s="56">
        <f t="shared" si="0"/>
        <v>242.30727272727273</v>
      </c>
      <c r="F389" s="57">
        <v>0.1</v>
      </c>
      <c r="G389" s="56">
        <f t="shared" si="1"/>
        <v>242.3072727272729</v>
      </c>
      <c r="H389" s="53" t="s">
        <v>88</v>
      </c>
      <c r="I389" s="66" t="s">
        <v>51</v>
      </c>
    </row>
    <row r="390" spans="1:9" ht="12.75" x14ac:dyDescent="0.2">
      <c r="A390" s="51">
        <v>51582008</v>
      </c>
      <c r="B390" s="52" t="s">
        <v>14</v>
      </c>
      <c r="C390" s="53" t="s">
        <v>787</v>
      </c>
      <c r="D390" s="54">
        <v>2085.4899999999998</v>
      </c>
      <c r="E390" s="56">
        <f t="shared" si="0"/>
        <v>189.58999999999997</v>
      </c>
      <c r="F390" s="57">
        <v>0.1</v>
      </c>
      <c r="G390" s="56">
        <f t="shared" si="1"/>
        <v>189.59000000000015</v>
      </c>
      <c r="H390" s="53" t="s">
        <v>88</v>
      </c>
      <c r="I390" s="66" t="s">
        <v>51</v>
      </c>
    </row>
    <row r="391" spans="1:9" ht="12.75" x14ac:dyDescent="0.2">
      <c r="A391" s="68">
        <v>51582008</v>
      </c>
      <c r="B391" s="63" t="s">
        <v>14</v>
      </c>
      <c r="C391" s="65" t="s">
        <v>788</v>
      </c>
      <c r="D391" s="67">
        <v>2283.98</v>
      </c>
      <c r="E391" s="69">
        <f t="shared" si="0"/>
        <v>207.63454545454545</v>
      </c>
      <c r="F391" s="71">
        <v>0.1</v>
      </c>
      <c r="G391" s="69">
        <f t="shared" si="1"/>
        <v>207.63454545454579</v>
      </c>
      <c r="H391" s="65" t="s">
        <v>88</v>
      </c>
      <c r="I391" s="81" t="s">
        <v>51</v>
      </c>
    </row>
    <row r="392" spans="1:9" ht="12.75" x14ac:dyDescent="0.2">
      <c r="A392" s="109">
        <v>235362008</v>
      </c>
      <c r="B392" s="80" t="s">
        <v>14</v>
      </c>
      <c r="C392" s="82" t="s">
        <v>789</v>
      </c>
      <c r="D392" s="134">
        <v>1581.54</v>
      </c>
      <c r="E392" s="88">
        <f t="shared" si="0"/>
        <v>131.79500000000002</v>
      </c>
      <c r="F392" s="90">
        <v>0.2</v>
      </c>
      <c r="G392" s="92">
        <f t="shared" si="1"/>
        <v>263.58999999999992</v>
      </c>
      <c r="H392" s="82" t="s">
        <v>52</v>
      </c>
      <c r="I392" s="112" t="s">
        <v>51</v>
      </c>
    </row>
    <row r="393" spans="1:9" ht="12.75" x14ac:dyDescent="0.2">
      <c r="A393" s="51">
        <v>235362008</v>
      </c>
      <c r="B393" s="55" t="s">
        <v>14</v>
      </c>
      <c r="C393" s="53" t="s">
        <v>790</v>
      </c>
      <c r="D393" s="54">
        <v>1197.8900000000001</v>
      </c>
      <c r="E393" s="56">
        <f t="shared" si="0"/>
        <v>99.824166666666684</v>
      </c>
      <c r="F393" s="57">
        <v>0.2</v>
      </c>
      <c r="G393" s="64">
        <f t="shared" si="1"/>
        <v>199.64833333333331</v>
      </c>
      <c r="H393" s="53" t="s">
        <v>52</v>
      </c>
      <c r="I393" s="66" t="s">
        <v>51</v>
      </c>
    </row>
    <row r="394" spans="1:9" ht="12.75" x14ac:dyDescent="0.2">
      <c r="A394" s="51">
        <v>235362008</v>
      </c>
      <c r="B394" s="55" t="s">
        <v>14</v>
      </c>
      <c r="C394" s="53" t="s">
        <v>791</v>
      </c>
      <c r="D394" s="54">
        <v>2735.53</v>
      </c>
      <c r="E394" s="56">
        <f t="shared" si="0"/>
        <v>227.96083333333337</v>
      </c>
      <c r="F394" s="57">
        <v>0.2</v>
      </c>
      <c r="G394" s="64">
        <f t="shared" si="1"/>
        <v>455.92166666666662</v>
      </c>
      <c r="H394" s="53" t="s">
        <v>52</v>
      </c>
      <c r="I394" s="66" t="s">
        <v>51</v>
      </c>
    </row>
    <row r="395" spans="1:9" ht="12.75" x14ac:dyDescent="0.2">
      <c r="A395" s="51">
        <v>235362008</v>
      </c>
      <c r="B395" s="55" t="s">
        <v>14</v>
      </c>
      <c r="C395" s="53" t="s">
        <v>792</v>
      </c>
      <c r="D395" s="54">
        <v>1303.8699999999999</v>
      </c>
      <c r="E395" s="56">
        <f t="shared" si="0"/>
        <v>108.65583333333335</v>
      </c>
      <c r="F395" s="57">
        <v>0.2</v>
      </c>
      <c r="G395" s="64">
        <f t="shared" si="1"/>
        <v>217.3116666666665</v>
      </c>
      <c r="H395" s="53" t="s">
        <v>52</v>
      </c>
      <c r="I395" s="66" t="s">
        <v>51</v>
      </c>
    </row>
    <row r="396" spans="1:9" ht="12.75" x14ac:dyDescent="0.2">
      <c r="A396" s="51">
        <v>235362008</v>
      </c>
      <c r="B396" s="55" t="s">
        <v>14</v>
      </c>
      <c r="C396" s="53" t="s">
        <v>793</v>
      </c>
      <c r="D396" s="54">
        <v>2306.8000000000002</v>
      </c>
      <c r="E396" s="56">
        <f t="shared" si="0"/>
        <v>192.23333333333335</v>
      </c>
      <c r="F396" s="57">
        <v>0.2</v>
      </c>
      <c r="G396" s="64">
        <f t="shared" si="1"/>
        <v>384.4666666666667</v>
      </c>
      <c r="H396" s="53" t="s">
        <v>52</v>
      </c>
      <c r="I396" s="66" t="s">
        <v>51</v>
      </c>
    </row>
    <row r="397" spans="1:9" ht="12.75" x14ac:dyDescent="0.2">
      <c r="A397" s="51">
        <v>235362008</v>
      </c>
      <c r="B397" s="55" t="s">
        <v>14</v>
      </c>
      <c r="C397" s="53" t="s">
        <v>794</v>
      </c>
      <c r="D397" s="54">
        <v>5885.21</v>
      </c>
      <c r="E397" s="56">
        <f t="shared" si="0"/>
        <v>490.43416666666673</v>
      </c>
      <c r="F397" s="57">
        <v>0.2</v>
      </c>
      <c r="G397" s="64">
        <f t="shared" si="1"/>
        <v>980.86833333333288</v>
      </c>
      <c r="H397" s="53" t="s">
        <v>52</v>
      </c>
      <c r="I397" s="66" t="s">
        <v>51</v>
      </c>
    </row>
    <row r="398" spans="1:9" ht="12.75" x14ac:dyDescent="0.2">
      <c r="A398" s="51">
        <v>235362008</v>
      </c>
      <c r="B398" s="55" t="s">
        <v>14</v>
      </c>
      <c r="C398" s="53" t="s">
        <v>795</v>
      </c>
      <c r="D398" s="54">
        <v>6129.52</v>
      </c>
      <c r="E398" s="56">
        <f t="shared" si="0"/>
        <v>510.79333333333346</v>
      </c>
      <c r="F398" s="57">
        <v>0.2</v>
      </c>
      <c r="G398" s="64">
        <f t="shared" si="1"/>
        <v>1021.5866666666661</v>
      </c>
      <c r="H398" s="53" t="s">
        <v>52</v>
      </c>
      <c r="I398" s="66" t="s">
        <v>51</v>
      </c>
    </row>
    <row r="399" spans="1:9" ht="12.75" x14ac:dyDescent="0.2">
      <c r="A399" s="51">
        <v>235362008</v>
      </c>
      <c r="B399" s="55" t="s">
        <v>14</v>
      </c>
      <c r="C399" s="53" t="s">
        <v>796</v>
      </c>
      <c r="D399" s="54">
        <v>6207.57</v>
      </c>
      <c r="E399" s="56">
        <f t="shared" si="0"/>
        <v>517.29750000000001</v>
      </c>
      <c r="F399" s="57">
        <v>0.2</v>
      </c>
      <c r="G399" s="64">
        <f t="shared" si="1"/>
        <v>1034.5949999999993</v>
      </c>
      <c r="H399" s="53" t="s">
        <v>52</v>
      </c>
      <c r="I399" s="66" t="s">
        <v>51</v>
      </c>
    </row>
    <row r="400" spans="1:9" ht="12.75" x14ac:dyDescent="0.2">
      <c r="A400" s="51">
        <v>235362008</v>
      </c>
      <c r="B400" s="55" t="s">
        <v>14</v>
      </c>
      <c r="C400" s="53" t="s">
        <v>797</v>
      </c>
      <c r="D400" s="54">
        <v>1528.87</v>
      </c>
      <c r="E400" s="56">
        <f t="shared" si="0"/>
        <v>127.40583333333335</v>
      </c>
      <c r="F400" s="57">
        <v>0.2</v>
      </c>
      <c r="G400" s="64">
        <f t="shared" si="1"/>
        <v>254.8116666666665</v>
      </c>
      <c r="H400" s="53" t="s">
        <v>52</v>
      </c>
      <c r="I400" s="66" t="s">
        <v>51</v>
      </c>
    </row>
    <row r="401" spans="1:9" ht="12.75" x14ac:dyDescent="0.2">
      <c r="A401" s="51">
        <v>235362008</v>
      </c>
      <c r="B401" s="55" t="s">
        <v>14</v>
      </c>
      <c r="C401" s="53" t="s">
        <v>798</v>
      </c>
      <c r="D401" s="54">
        <v>1356.02</v>
      </c>
      <c r="E401" s="56">
        <f t="shared" si="0"/>
        <v>113.00166666666667</v>
      </c>
      <c r="F401" s="57">
        <v>0.2</v>
      </c>
      <c r="G401" s="64">
        <f t="shared" si="1"/>
        <v>226.00333333333333</v>
      </c>
      <c r="H401" s="53" t="s">
        <v>52</v>
      </c>
      <c r="I401" s="66" t="s">
        <v>51</v>
      </c>
    </row>
    <row r="402" spans="1:9" ht="12.75" x14ac:dyDescent="0.2">
      <c r="A402" s="51">
        <v>235362008</v>
      </c>
      <c r="B402" s="55" t="s">
        <v>14</v>
      </c>
      <c r="C402" s="53" t="s">
        <v>799</v>
      </c>
      <c r="D402" s="54">
        <v>1502.25</v>
      </c>
      <c r="E402" s="56">
        <f t="shared" si="0"/>
        <v>125.1875</v>
      </c>
      <c r="F402" s="57">
        <v>0.2</v>
      </c>
      <c r="G402" s="64">
        <f t="shared" si="1"/>
        <v>250.375</v>
      </c>
      <c r="H402" s="53" t="s">
        <v>52</v>
      </c>
      <c r="I402" s="66" t="s">
        <v>51</v>
      </c>
    </row>
    <row r="403" spans="1:9" ht="12.75" x14ac:dyDescent="0.2">
      <c r="A403" s="51">
        <v>235362008</v>
      </c>
      <c r="B403" s="55" t="s">
        <v>14</v>
      </c>
      <c r="C403" s="53" t="s">
        <v>800</v>
      </c>
      <c r="D403" s="54">
        <v>1548</v>
      </c>
      <c r="E403" s="56">
        <f t="shared" si="0"/>
        <v>129</v>
      </c>
      <c r="F403" s="57">
        <v>0.2</v>
      </c>
      <c r="G403" s="64">
        <f t="shared" si="1"/>
        <v>258</v>
      </c>
      <c r="H403" s="53" t="s">
        <v>52</v>
      </c>
      <c r="I403" s="66" t="s">
        <v>51</v>
      </c>
    </row>
    <row r="404" spans="1:9" ht="12.75" x14ac:dyDescent="0.2">
      <c r="A404" s="51">
        <v>235362008</v>
      </c>
      <c r="B404" s="55" t="s">
        <v>14</v>
      </c>
      <c r="C404" s="53" t="s">
        <v>801</v>
      </c>
      <c r="D404" s="54">
        <v>1689.33</v>
      </c>
      <c r="E404" s="56">
        <f t="shared" si="0"/>
        <v>140.7775</v>
      </c>
      <c r="F404" s="57">
        <v>0.2</v>
      </c>
      <c r="G404" s="64">
        <f t="shared" si="1"/>
        <v>281.55499999999984</v>
      </c>
      <c r="H404" s="53" t="s">
        <v>52</v>
      </c>
      <c r="I404" s="66" t="s">
        <v>51</v>
      </c>
    </row>
    <row r="405" spans="1:9" ht="12.75" x14ac:dyDescent="0.2">
      <c r="A405" s="51">
        <v>235362008</v>
      </c>
      <c r="B405" s="55" t="s">
        <v>14</v>
      </c>
      <c r="C405" s="53" t="s">
        <v>802</v>
      </c>
      <c r="D405" s="54">
        <v>1502.05</v>
      </c>
      <c r="E405" s="56">
        <f t="shared" si="0"/>
        <v>125.17083333333333</v>
      </c>
      <c r="F405" s="57">
        <v>0.2</v>
      </c>
      <c r="G405" s="64">
        <f t="shared" si="1"/>
        <v>250.3416666666667</v>
      </c>
      <c r="H405" s="53" t="s">
        <v>52</v>
      </c>
      <c r="I405" s="66" t="s">
        <v>51</v>
      </c>
    </row>
    <row r="406" spans="1:9" ht="12.75" x14ac:dyDescent="0.2">
      <c r="A406" s="75">
        <v>235362008</v>
      </c>
      <c r="B406" s="219" t="s">
        <v>14</v>
      </c>
      <c r="C406" s="79" t="s">
        <v>803</v>
      </c>
      <c r="D406" s="84">
        <v>11442.29</v>
      </c>
      <c r="E406" s="86">
        <f t="shared" si="0"/>
        <v>953.52416666666693</v>
      </c>
      <c r="F406" s="93">
        <v>0.2</v>
      </c>
      <c r="G406" s="96">
        <f t="shared" si="1"/>
        <v>1907.0483333333323</v>
      </c>
      <c r="H406" s="79" t="s">
        <v>52</v>
      </c>
      <c r="I406" s="98" t="s">
        <v>51</v>
      </c>
    </row>
    <row r="407" spans="1:9" ht="12.75" x14ac:dyDescent="0.2">
      <c r="A407" s="44">
        <v>53602009</v>
      </c>
      <c r="B407" s="13" t="s">
        <v>14</v>
      </c>
      <c r="C407" s="14" t="s">
        <v>804</v>
      </c>
      <c r="D407" s="15">
        <v>2144.41</v>
      </c>
      <c r="E407" s="46">
        <f t="shared" si="0"/>
        <v>194.94636363636363</v>
      </c>
      <c r="F407" s="17">
        <v>0.1</v>
      </c>
      <c r="G407" s="46">
        <f t="shared" si="1"/>
        <v>194.94636363636369</v>
      </c>
      <c r="H407" s="14" t="s">
        <v>324</v>
      </c>
      <c r="I407" s="49" t="s">
        <v>51</v>
      </c>
    </row>
    <row r="408" spans="1:9" ht="12.75" x14ac:dyDescent="0.2">
      <c r="A408" s="51">
        <v>53602009</v>
      </c>
      <c r="B408" s="52" t="s">
        <v>14</v>
      </c>
      <c r="C408" s="53" t="s">
        <v>805</v>
      </c>
      <c r="D408" s="54">
        <v>2049.33</v>
      </c>
      <c r="E408" s="56">
        <f t="shared" si="0"/>
        <v>186.30272727272725</v>
      </c>
      <c r="F408" s="57">
        <v>0.1</v>
      </c>
      <c r="G408" s="56">
        <f t="shared" si="1"/>
        <v>186.30272727272745</v>
      </c>
      <c r="H408" s="53" t="s">
        <v>324</v>
      </c>
      <c r="I408" s="66" t="s">
        <v>51</v>
      </c>
    </row>
    <row r="409" spans="1:9" ht="12.75" x14ac:dyDescent="0.2">
      <c r="A409" s="51">
        <v>53602009</v>
      </c>
      <c r="B409" s="52" t="s">
        <v>14</v>
      </c>
      <c r="C409" s="53" t="s">
        <v>806</v>
      </c>
      <c r="D409" s="54">
        <v>1944.46</v>
      </c>
      <c r="E409" s="56">
        <f t="shared" si="0"/>
        <v>176.76909090909089</v>
      </c>
      <c r="F409" s="57">
        <v>0.1</v>
      </c>
      <c r="G409" s="56">
        <f t="shared" si="1"/>
        <v>176.76909090909112</v>
      </c>
      <c r="H409" s="53" t="s">
        <v>324</v>
      </c>
      <c r="I409" s="66" t="s">
        <v>51</v>
      </c>
    </row>
    <row r="410" spans="1:9" ht="12.75" x14ac:dyDescent="0.2">
      <c r="A410" s="51">
        <v>53602009</v>
      </c>
      <c r="B410" s="52" t="s">
        <v>14</v>
      </c>
      <c r="C410" s="53" t="s">
        <v>807</v>
      </c>
      <c r="D410" s="54">
        <v>1588.16</v>
      </c>
      <c r="E410" s="56">
        <f t="shared" si="0"/>
        <v>144.37818181818182</v>
      </c>
      <c r="F410" s="57">
        <v>0.1</v>
      </c>
      <c r="G410" s="56">
        <f t="shared" si="1"/>
        <v>144.37818181818193</v>
      </c>
      <c r="H410" s="53" t="s">
        <v>324</v>
      </c>
      <c r="I410" s="66" t="s">
        <v>51</v>
      </c>
    </row>
    <row r="411" spans="1:9" ht="12.75" x14ac:dyDescent="0.2">
      <c r="A411" s="51">
        <v>53602009</v>
      </c>
      <c r="B411" s="52" t="s">
        <v>14</v>
      </c>
      <c r="C411" s="53" t="s">
        <v>808</v>
      </c>
      <c r="D411" s="54">
        <v>1847.46</v>
      </c>
      <c r="E411" s="56">
        <f t="shared" si="0"/>
        <v>167.95090909090911</v>
      </c>
      <c r="F411" s="57">
        <v>0.1</v>
      </c>
      <c r="G411" s="56">
        <f t="shared" si="1"/>
        <v>167.95090909090914</v>
      </c>
      <c r="H411" s="53" t="s">
        <v>324</v>
      </c>
      <c r="I411" s="66" t="s">
        <v>51</v>
      </c>
    </row>
    <row r="412" spans="1:9" ht="12.75" x14ac:dyDescent="0.2">
      <c r="A412" s="51">
        <v>53602009</v>
      </c>
      <c r="B412" s="52" t="s">
        <v>14</v>
      </c>
      <c r="C412" s="53" t="s">
        <v>809</v>
      </c>
      <c r="D412" s="54">
        <v>2995.06</v>
      </c>
      <c r="E412" s="56">
        <f t="shared" si="0"/>
        <v>272.27818181818179</v>
      </c>
      <c r="F412" s="57">
        <v>0.1</v>
      </c>
      <c r="G412" s="56">
        <f t="shared" si="1"/>
        <v>272.27818181818202</v>
      </c>
      <c r="H412" s="53" t="s">
        <v>324</v>
      </c>
      <c r="I412" s="66" t="s">
        <v>51</v>
      </c>
    </row>
    <row r="413" spans="1:9" ht="12.75" x14ac:dyDescent="0.2">
      <c r="A413" s="51">
        <v>53602009</v>
      </c>
      <c r="B413" s="52" t="s">
        <v>14</v>
      </c>
      <c r="C413" s="53" t="s">
        <v>810</v>
      </c>
      <c r="D413" s="54">
        <f>2540.01+1964.2</f>
        <v>4504.21</v>
      </c>
      <c r="E413" s="56">
        <f t="shared" si="0"/>
        <v>409.47363636363639</v>
      </c>
      <c r="F413" s="57">
        <v>0.1</v>
      </c>
      <c r="G413" s="56">
        <f t="shared" si="1"/>
        <v>409.47363636363661</v>
      </c>
      <c r="H413" s="53" t="s">
        <v>324</v>
      </c>
      <c r="I413" s="66" t="s">
        <v>51</v>
      </c>
    </row>
    <row r="414" spans="1:9" ht="12.75" x14ac:dyDescent="0.2">
      <c r="A414" s="51">
        <v>53602009</v>
      </c>
      <c r="B414" s="52" t="s">
        <v>14</v>
      </c>
      <c r="C414" s="53" t="s">
        <v>811</v>
      </c>
      <c r="D414" s="54">
        <v>1842.28</v>
      </c>
      <c r="E414" s="56">
        <f t="shared" si="0"/>
        <v>167.48</v>
      </c>
      <c r="F414" s="57">
        <v>0.1</v>
      </c>
      <c r="G414" s="56">
        <f t="shared" si="1"/>
        <v>167.48000000000025</v>
      </c>
      <c r="H414" s="53" t="s">
        <v>324</v>
      </c>
      <c r="I414" s="66" t="s">
        <v>51</v>
      </c>
    </row>
    <row r="415" spans="1:9" ht="12.75" x14ac:dyDescent="0.2">
      <c r="A415" s="51">
        <v>53602009</v>
      </c>
      <c r="B415" s="52" t="s">
        <v>14</v>
      </c>
      <c r="C415" s="53" t="s">
        <v>812</v>
      </c>
      <c r="D415" s="54">
        <v>2007.23</v>
      </c>
      <c r="E415" s="56">
        <f t="shared" si="0"/>
        <v>182.47545454545454</v>
      </c>
      <c r="F415" s="57">
        <v>0.1</v>
      </c>
      <c r="G415" s="56">
        <f t="shared" si="1"/>
        <v>182.4754545454548</v>
      </c>
      <c r="H415" s="53" t="s">
        <v>324</v>
      </c>
      <c r="I415" s="66" t="s">
        <v>51</v>
      </c>
    </row>
    <row r="416" spans="1:9" ht="12.75" x14ac:dyDescent="0.2">
      <c r="A416" s="51">
        <v>53602009</v>
      </c>
      <c r="B416" s="52" t="s">
        <v>14</v>
      </c>
      <c r="C416" s="53" t="s">
        <v>813</v>
      </c>
      <c r="D416" s="54">
        <v>1526.4</v>
      </c>
      <c r="E416" s="56">
        <f t="shared" si="0"/>
        <v>138.76363636363635</v>
      </c>
      <c r="F416" s="57">
        <v>0.1</v>
      </c>
      <c r="G416" s="56">
        <f t="shared" si="1"/>
        <v>138.76363636363658</v>
      </c>
      <c r="H416" s="53" t="s">
        <v>324</v>
      </c>
      <c r="I416" s="66" t="s">
        <v>51</v>
      </c>
    </row>
    <row r="417" spans="1:9" ht="12.75" x14ac:dyDescent="0.2">
      <c r="A417" s="51">
        <v>53602009</v>
      </c>
      <c r="B417" s="52" t="s">
        <v>14</v>
      </c>
      <c r="C417" s="53" t="s">
        <v>814</v>
      </c>
      <c r="D417" s="54">
        <v>6064.38</v>
      </c>
      <c r="E417" s="56">
        <f t="shared" si="0"/>
        <v>551.30727272727279</v>
      </c>
      <c r="F417" s="57">
        <v>0.1</v>
      </c>
      <c r="G417" s="56">
        <f t="shared" si="1"/>
        <v>551.3072727272729</v>
      </c>
      <c r="H417" s="53" t="s">
        <v>324</v>
      </c>
      <c r="I417" s="66" t="s">
        <v>51</v>
      </c>
    </row>
    <row r="418" spans="1:9" ht="12.75" x14ac:dyDescent="0.2">
      <c r="A418" s="51">
        <v>53602009</v>
      </c>
      <c r="B418" s="52" t="s">
        <v>14</v>
      </c>
      <c r="C418" s="53" t="s">
        <v>815</v>
      </c>
      <c r="D418" s="54">
        <v>7537.42</v>
      </c>
      <c r="E418" s="56">
        <f t="shared" si="0"/>
        <v>685.22</v>
      </c>
      <c r="F418" s="57">
        <v>0.1</v>
      </c>
      <c r="G418" s="56">
        <f t="shared" si="1"/>
        <v>685.22000000000025</v>
      </c>
      <c r="H418" s="53" t="s">
        <v>324</v>
      </c>
      <c r="I418" s="66" t="s">
        <v>51</v>
      </c>
    </row>
    <row r="419" spans="1:9" ht="12.75" x14ac:dyDescent="0.2">
      <c r="A419" s="51">
        <v>53602009</v>
      </c>
      <c r="B419" s="52" t="s">
        <v>14</v>
      </c>
      <c r="C419" s="53" t="s">
        <v>816</v>
      </c>
      <c r="D419" s="54">
        <v>3503.87</v>
      </c>
      <c r="E419" s="56">
        <f t="shared" si="0"/>
        <v>318.53363636363633</v>
      </c>
      <c r="F419" s="57">
        <v>0.1</v>
      </c>
      <c r="G419" s="56">
        <f t="shared" si="1"/>
        <v>318.53363636363656</v>
      </c>
      <c r="H419" s="53" t="s">
        <v>324</v>
      </c>
      <c r="I419" s="66" t="s">
        <v>51</v>
      </c>
    </row>
    <row r="420" spans="1:9" ht="12.75" x14ac:dyDescent="0.2">
      <c r="A420" s="51">
        <v>53602009</v>
      </c>
      <c r="B420" s="52" t="s">
        <v>14</v>
      </c>
      <c r="C420" s="53" t="s">
        <v>817</v>
      </c>
      <c r="D420" s="54">
        <v>728.21</v>
      </c>
      <c r="E420" s="56">
        <f t="shared" si="0"/>
        <v>66.200909090909093</v>
      </c>
      <c r="F420" s="57">
        <v>0.1</v>
      </c>
      <c r="G420" s="56">
        <f t="shared" si="1"/>
        <v>66.200909090909136</v>
      </c>
      <c r="H420" s="53" t="s">
        <v>324</v>
      </c>
      <c r="I420" s="66" t="s">
        <v>51</v>
      </c>
    </row>
    <row r="421" spans="1:9" ht="12.75" x14ac:dyDescent="0.2">
      <c r="A421" s="68">
        <v>53602009</v>
      </c>
      <c r="B421" s="63" t="s">
        <v>14</v>
      </c>
      <c r="C421" s="65" t="s">
        <v>818</v>
      </c>
      <c r="D421" s="67">
        <v>730.95</v>
      </c>
      <c r="E421" s="69">
        <f t="shared" si="0"/>
        <v>66.45</v>
      </c>
      <c r="F421" s="71">
        <v>0.1</v>
      </c>
      <c r="G421" s="69">
        <f t="shared" si="1"/>
        <v>66.450000000000045</v>
      </c>
      <c r="H421" s="65" t="s">
        <v>324</v>
      </c>
      <c r="I421" s="81" t="s">
        <v>51</v>
      </c>
    </row>
    <row r="422" spans="1:9" ht="12.75" x14ac:dyDescent="0.2">
      <c r="A422" s="109">
        <v>12812007</v>
      </c>
      <c r="B422" s="80" t="s">
        <v>14</v>
      </c>
      <c r="C422" s="82" t="s">
        <v>819</v>
      </c>
      <c r="D422" s="134"/>
      <c r="E422" s="88">
        <f t="shared" si="0"/>
        <v>0</v>
      </c>
      <c r="F422" s="90"/>
      <c r="G422" s="92">
        <f t="shared" si="1"/>
        <v>0</v>
      </c>
      <c r="H422" s="82" t="s">
        <v>52</v>
      </c>
      <c r="I422" s="112" t="s">
        <v>51</v>
      </c>
    </row>
    <row r="423" spans="1:9" ht="12.75" x14ac:dyDescent="0.2">
      <c r="A423" s="51">
        <v>12812007</v>
      </c>
      <c r="B423" s="31" t="s">
        <v>14</v>
      </c>
      <c r="C423" s="53" t="s">
        <v>820</v>
      </c>
      <c r="D423" s="33"/>
      <c r="E423" s="56">
        <f t="shared" si="0"/>
        <v>0</v>
      </c>
      <c r="F423" s="57"/>
      <c r="G423" s="64">
        <f t="shared" si="1"/>
        <v>0</v>
      </c>
      <c r="H423" s="53" t="s">
        <v>52</v>
      </c>
      <c r="I423" s="66" t="s">
        <v>51</v>
      </c>
    </row>
    <row r="424" spans="1:9" ht="12.75" x14ac:dyDescent="0.2">
      <c r="A424" s="51">
        <v>12812007</v>
      </c>
      <c r="B424" s="31" t="s">
        <v>14</v>
      </c>
      <c r="C424" s="53" t="s">
        <v>821</v>
      </c>
      <c r="D424" s="33"/>
      <c r="E424" s="56">
        <f t="shared" si="0"/>
        <v>0</v>
      </c>
      <c r="F424" s="57"/>
      <c r="G424" s="64">
        <f t="shared" si="1"/>
        <v>0</v>
      </c>
      <c r="H424" s="53" t="s">
        <v>52</v>
      </c>
      <c r="I424" s="66" t="s">
        <v>51</v>
      </c>
    </row>
    <row r="425" spans="1:9" ht="12.75" x14ac:dyDescent="0.2">
      <c r="A425" s="51">
        <v>12812007</v>
      </c>
      <c r="B425" s="31" t="s">
        <v>14</v>
      </c>
      <c r="C425" s="53" t="s">
        <v>822</v>
      </c>
      <c r="D425" s="33"/>
      <c r="E425" s="56">
        <f t="shared" si="0"/>
        <v>0</v>
      </c>
      <c r="F425" s="57"/>
      <c r="G425" s="64">
        <f t="shared" si="1"/>
        <v>0</v>
      </c>
      <c r="H425" s="53" t="s">
        <v>52</v>
      </c>
      <c r="I425" s="66" t="s">
        <v>51</v>
      </c>
    </row>
    <row r="426" spans="1:9" ht="12.75" x14ac:dyDescent="0.2">
      <c r="A426" s="51">
        <v>12812007</v>
      </c>
      <c r="B426" s="31" t="s">
        <v>14</v>
      </c>
      <c r="C426" s="53" t="s">
        <v>823</v>
      </c>
      <c r="D426" s="33"/>
      <c r="E426" s="56">
        <f t="shared" si="0"/>
        <v>0</v>
      </c>
      <c r="F426" s="57"/>
      <c r="G426" s="64">
        <f t="shared" si="1"/>
        <v>0</v>
      </c>
      <c r="H426" s="53" t="s">
        <v>52</v>
      </c>
      <c r="I426" s="66" t="s">
        <v>51</v>
      </c>
    </row>
    <row r="427" spans="1:9" ht="12.75" x14ac:dyDescent="0.2">
      <c r="A427" s="51">
        <v>12812007</v>
      </c>
      <c r="B427" s="31" t="s">
        <v>14</v>
      </c>
      <c r="C427" s="53" t="s">
        <v>824</v>
      </c>
      <c r="D427" s="33"/>
      <c r="E427" s="56">
        <f t="shared" si="0"/>
        <v>0</v>
      </c>
      <c r="F427" s="57"/>
      <c r="G427" s="64">
        <f t="shared" si="1"/>
        <v>0</v>
      </c>
      <c r="H427" s="53" t="s">
        <v>52</v>
      </c>
      <c r="I427" s="66" t="s">
        <v>51</v>
      </c>
    </row>
    <row r="428" spans="1:9" ht="12.75" x14ac:dyDescent="0.2">
      <c r="A428" s="51">
        <v>12812007</v>
      </c>
      <c r="B428" s="31" t="s">
        <v>14</v>
      </c>
      <c r="C428" s="53" t="s">
        <v>825</v>
      </c>
      <c r="D428" s="33"/>
      <c r="E428" s="56">
        <f t="shared" si="0"/>
        <v>0</v>
      </c>
      <c r="F428" s="57"/>
      <c r="G428" s="64">
        <f t="shared" si="1"/>
        <v>0</v>
      </c>
      <c r="H428" s="53" t="s">
        <v>52</v>
      </c>
      <c r="I428" s="66" t="s">
        <v>51</v>
      </c>
    </row>
    <row r="429" spans="1:9" ht="12.75" x14ac:dyDescent="0.2">
      <c r="A429" s="51">
        <v>12812007</v>
      </c>
      <c r="B429" s="31" t="s">
        <v>14</v>
      </c>
      <c r="C429" s="53" t="s">
        <v>826</v>
      </c>
      <c r="D429" s="33"/>
      <c r="E429" s="56">
        <f t="shared" si="0"/>
        <v>0</v>
      </c>
      <c r="F429" s="57"/>
      <c r="G429" s="64">
        <f t="shared" si="1"/>
        <v>0</v>
      </c>
      <c r="H429" s="53" t="s">
        <v>52</v>
      </c>
      <c r="I429" s="66" t="s">
        <v>51</v>
      </c>
    </row>
    <row r="430" spans="1:9" ht="12.75" x14ac:dyDescent="0.2">
      <c r="A430" s="51">
        <v>12812007</v>
      </c>
      <c r="B430" s="31" t="s">
        <v>14</v>
      </c>
      <c r="C430" s="53" t="s">
        <v>827</v>
      </c>
      <c r="D430" s="33"/>
      <c r="E430" s="56">
        <f t="shared" si="0"/>
        <v>0</v>
      </c>
      <c r="F430" s="57"/>
      <c r="G430" s="64">
        <f t="shared" si="1"/>
        <v>0</v>
      </c>
      <c r="H430" s="53" t="s">
        <v>52</v>
      </c>
      <c r="I430" s="66" t="s">
        <v>51</v>
      </c>
    </row>
    <row r="431" spans="1:9" ht="12.75" x14ac:dyDescent="0.2">
      <c r="A431" s="51">
        <v>12812007</v>
      </c>
      <c r="B431" s="31" t="s">
        <v>14</v>
      </c>
      <c r="C431" s="53" t="s">
        <v>828</v>
      </c>
      <c r="D431" s="33"/>
      <c r="E431" s="56">
        <f t="shared" si="0"/>
        <v>0</v>
      </c>
      <c r="F431" s="57"/>
      <c r="G431" s="64">
        <f t="shared" si="1"/>
        <v>0</v>
      </c>
      <c r="H431" s="53" t="s">
        <v>52</v>
      </c>
      <c r="I431" s="66" t="s">
        <v>51</v>
      </c>
    </row>
    <row r="432" spans="1:9" ht="12.75" x14ac:dyDescent="0.2">
      <c r="A432" s="51">
        <v>12812007</v>
      </c>
      <c r="B432" s="31" t="s">
        <v>14</v>
      </c>
      <c r="C432" s="53" t="s">
        <v>829</v>
      </c>
      <c r="D432" s="33"/>
      <c r="E432" s="56">
        <f t="shared" si="0"/>
        <v>0</v>
      </c>
      <c r="F432" s="57"/>
      <c r="G432" s="64">
        <f t="shared" si="1"/>
        <v>0</v>
      </c>
      <c r="H432" s="53" t="s">
        <v>52</v>
      </c>
      <c r="I432" s="66" t="s">
        <v>51</v>
      </c>
    </row>
    <row r="433" spans="1:9" ht="12.75" x14ac:dyDescent="0.2">
      <c r="A433" s="51">
        <v>12812007</v>
      </c>
      <c r="B433" s="31" t="s">
        <v>14</v>
      </c>
      <c r="C433" s="53" t="s">
        <v>830</v>
      </c>
      <c r="D433" s="33"/>
      <c r="E433" s="56">
        <f t="shared" si="0"/>
        <v>0</v>
      </c>
      <c r="F433" s="57"/>
      <c r="G433" s="64">
        <f t="shared" si="1"/>
        <v>0</v>
      </c>
      <c r="H433" s="53" t="s">
        <v>52</v>
      </c>
      <c r="I433" s="66" t="s">
        <v>51</v>
      </c>
    </row>
    <row r="434" spans="1:9" ht="12.75" x14ac:dyDescent="0.2">
      <c r="A434" s="51">
        <v>12812007</v>
      </c>
      <c r="B434" s="31" t="s">
        <v>14</v>
      </c>
      <c r="C434" s="53" t="s">
        <v>831</v>
      </c>
      <c r="D434" s="33"/>
      <c r="E434" s="56">
        <f t="shared" si="0"/>
        <v>0</v>
      </c>
      <c r="F434" s="57"/>
      <c r="G434" s="64">
        <f t="shared" si="1"/>
        <v>0</v>
      </c>
      <c r="H434" s="53" t="s">
        <v>52</v>
      </c>
      <c r="I434" s="66" t="s">
        <v>51</v>
      </c>
    </row>
    <row r="435" spans="1:9" ht="12.75" x14ac:dyDescent="0.2">
      <c r="A435" s="51">
        <v>12812007</v>
      </c>
      <c r="B435" s="31" t="s">
        <v>14</v>
      </c>
      <c r="C435" s="53" t="s">
        <v>832</v>
      </c>
      <c r="D435" s="33"/>
      <c r="E435" s="56">
        <f t="shared" si="0"/>
        <v>0</v>
      </c>
      <c r="F435" s="57"/>
      <c r="G435" s="64">
        <f t="shared" si="1"/>
        <v>0</v>
      </c>
      <c r="H435" s="53" t="s">
        <v>52</v>
      </c>
      <c r="I435" s="66" t="s">
        <v>51</v>
      </c>
    </row>
    <row r="436" spans="1:9" ht="12.75" x14ac:dyDescent="0.2">
      <c r="A436" s="68">
        <v>12812007</v>
      </c>
      <c r="B436" s="175" t="s">
        <v>14</v>
      </c>
      <c r="C436" s="65" t="s">
        <v>833</v>
      </c>
      <c r="D436" s="153"/>
      <c r="E436" s="69">
        <f t="shared" si="0"/>
        <v>0</v>
      </c>
      <c r="F436" s="71"/>
      <c r="G436" s="199">
        <f t="shared" si="1"/>
        <v>0</v>
      </c>
      <c r="H436" s="65" t="s">
        <v>52</v>
      </c>
      <c r="I436" s="81" t="s">
        <v>51</v>
      </c>
    </row>
    <row r="437" spans="1:9" ht="12.75" x14ac:dyDescent="0.2">
      <c r="A437" s="44">
        <v>65462006</v>
      </c>
      <c r="B437" s="171" t="s">
        <v>14</v>
      </c>
      <c r="C437" s="14" t="s">
        <v>834</v>
      </c>
      <c r="D437" s="100"/>
      <c r="E437" s="46">
        <f t="shared" si="0"/>
        <v>0</v>
      </c>
      <c r="F437" s="17"/>
      <c r="G437" s="46">
        <f t="shared" si="1"/>
        <v>0</v>
      </c>
      <c r="H437" s="14" t="s">
        <v>88</v>
      </c>
      <c r="I437" s="49" t="s">
        <v>51</v>
      </c>
    </row>
    <row r="438" spans="1:9" ht="12.75" x14ac:dyDescent="0.2">
      <c r="A438" s="109">
        <v>65462006</v>
      </c>
      <c r="B438" s="26" t="s">
        <v>14</v>
      </c>
      <c r="C438" s="82" t="s">
        <v>835</v>
      </c>
      <c r="D438" s="28"/>
      <c r="E438" s="88">
        <f t="shared" si="0"/>
        <v>0</v>
      </c>
      <c r="F438" s="90"/>
      <c r="G438" s="88">
        <f t="shared" si="1"/>
        <v>0</v>
      </c>
      <c r="H438" s="82" t="s">
        <v>88</v>
      </c>
      <c r="I438" s="112" t="s">
        <v>51</v>
      </c>
    </row>
    <row r="439" spans="1:9" ht="12.75" x14ac:dyDescent="0.2">
      <c r="A439" s="109">
        <v>65462006</v>
      </c>
      <c r="B439" s="26" t="s">
        <v>14</v>
      </c>
      <c r="C439" s="82" t="s">
        <v>836</v>
      </c>
      <c r="D439" s="28"/>
      <c r="E439" s="88">
        <f t="shared" si="0"/>
        <v>0</v>
      </c>
      <c r="F439" s="90"/>
      <c r="G439" s="88">
        <f t="shared" si="1"/>
        <v>0</v>
      </c>
      <c r="H439" s="82" t="s">
        <v>88</v>
      </c>
      <c r="I439" s="112" t="s">
        <v>51</v>
      </c>
    </row>
    <row r="440" spans="1:9" ht="12.75" x14ac:dyDescent="0.2">
      <c r="A440" s="109">
        <v>65462006</v>
      </c>
      <c r="B440" s="26" t="s">
        <v>14</v>
      </c>
      <c r="C440" s="82" t="s">
        <v>837</v>
      </c>
      <c r="D440" s="28"/>
      <c r="E440" s="88">
        <f t="shared" si="0"/>
        <v>0</v>
      </c>
      <c r="F440" s="90"/>
      <c r="G440" s="88">
        <f t="shared" si="1"/>
        <v>0</v>
      </c>
      <c r="H440" s="82" t="s">
        <v>88</v>
      </c>
      <c r="I440" s="112" t="s">
        <v>51</v>
      </c>
    </row>
    <row r="441" spans="1:9" ht="12.75" x14ac:dyDescent="0.2">
      <c r="A441" s="109">
        <v>65462006</v>
      </c>
      <c r="B441" s="26" t="s">
        <v>14</v>
      </c>
      <c r="C441" s="82" t="s">
        <v>838</v>
      </c>
      <c r="D441" s="28"/>
      <c r="E441" s="88">
        <f t="shared" si="0"/>
        <v>0</v>
      </c>
      <c r="F441" s="90"/>
      <c r="G441" s="88">
        <f t="shared" si="1"/>
        <v>0</v>
      </c>
      <c r="H441" s="82" t="s">
        <v>88</v>
      </c>
      <c r="I441" s="112" t="s">
        <v>51</v>
      </c>
    </row>
    <row r="442" spans="1:9" ht="12.75" x14ac:dyDescent="0.2">
      <c r="A442" s="109">
        <v>65462006</v>
      </c>
      <c r="B442" s="26" t="s">
        <v>14</v>
      </c>
      <c r="C442" s="82" t="s">
        <v>839</v>
      </c>
      <c r="D442" s="28"/>
      <c r="E442" s="88">
        <f t="shared" si="0"/>
        <v>0</v>
      </c>
      <c r="F442" s="90"/>
      <c r="G442" s="88">
        <f t="shared" si="1"/>
        <v>0</v>
      </c>
      <c r="H442" s="82" t="s">
        <v>88</v>
      </c>
      <c r="I442" s="112" t="s">
        <v>51</v>
      </c>
    </row>
    <row r="443" spans="1:9" ht="12.75" x14ac:dyDescent="0.2">
      <c r="A443" s="109">
        <v>65462006</v>
      </c>
      <c r="B443" s="26" t="s">
        <v>14</v>
      </c>
      <c r="C443" s="82" t="s">
        <v>840</v>
      </c>
      <c r="D443" s="28"/>
      <c r="E443" s="88">
        <f t="shared" si="0"/>
        <v>0</v>
      </c>
      <c r="F443" s="90"/>
      <c r="G443" s="88">
        <f t="shared" si="1"/>
        <v>0</v>
      </c>
      <c r="H443" s="82" t="s">
        <v>88</v>
      </c>
      <c r="I443" s="112" t="s">
        <v>51</v>
      </c>
    </row>
    <row r="444" spans="1:9" ht="12.75" x14ac:dyDescent="0.2">
      <c r="A444" s="109">
        <v>65462006</v>
      </c>
      <c r="B444" s="26" t="s">
        <v>14</v>
      </c>
      <c r="C444" s="82" t="s">
        <v>841</v>
      </c>
      <c r="D444" s="28"/>
      <c r="E444" s="88">
        <f t="shared" si="0"/>
        <v>0</v>
      </c>
      <c r="F444" s="90"/>
      <c r="G444" s="88">
        <f t="shared" si="1"/>
        <v>0</v>
      </c>
      <c r="H444" s="82" t="s">
        <v>88</v>
      </c>
      <c r="I444" s="112" t="s">
        <v>51</v>
      </c>
    </row>
    <row r="445" spans="1:9" ht="12.75" x14ac:dyDescent="0.2">
      <c r="A445" s="109">
        <v>65462006</v>
      </c>
      <c r="B445" s="26" t="s">
        <v>14</v>
      </c>
      <c r="C445" s="82" t="s">
        <v>842</v>
      </c>
      <c r="D445" s="28"/>
      <c r="E445" s="88">
        <f t="shared" si="0"/>
        <v>0</v>
      </c>
      <c r="F445" s="90"/>
      <c r="G445" s="88">
        <f t="shared" si="1"/>
        <v>0</v>
      </c>
      <c r="H445" s="82" t="s">
        <v>88</v>
      </c>
      <c r="I445" s="112" t="s">
        <v>51</v>
      </c>
    </row>
    <row r="446" spans="1:9" ht="12.75" x14ac:dyDescent="0.2">
      <c r="A446" s="109">
        <v>65462006</v>
      </c>
      <c r="B446" s="26" t="s">
        <v>14</v>
      </c>
      <c r="C446" s="82" t="s">
        <v>843</v>
      </c>
      <c r="D446" s="28"/>
      <c r="E446" s="88">
        <f t="shared" si="0"/>
        <v>0</v>
      </c>
      <c r="F446" s="90"/>
      <c r="G446" s="88">
        <f t="shared" si="1"/>
        <v>0</v>
      </c>
      <c r="H446" s="82" t="s">
        <v>88</v>
      </c>
      <c r="I446" s="112" t="s">
        <v>51</v>
      </c>
    </row>
    <row r="447" spans="1:9" ht="12.75" x14ac:dyDescent="0.2">
      <c r="A447" s="109">
        <v>65462006</v>
      </c>
      <c r="B447" s="26" t="s">
        <v>14</v>
      </c>
      <c r="C447" s="82" t="s">
        <v>844</v>
      </c>
      <c r="D447" s="28"/>
      <c r="E447" s="88">
        <f t="shared" si="0"/>
        <v>0</v>
      </c>
      <c r="F447" s="90"/>
      <c r="G447" s="88">
        <f t="shared" si="1"/>
        <v>0</v>
      </c>
      <c r="H447" s="82" t="s">
        <v>88</v>
      </c>
      <c r="I447" s="112" t="s">
        <v>51</v>
      </c>
    </row>
    <row r="448" spans="1:9" ht="12.75" x14ac:dyDescent="0.2">
      <c r="A448" s="109">
        <v>65462006</v>
      </c>
      <c r="B448" s="26" t="s">
        <v>14</v>
      </c>
      <c r="C448" s="82" t="s">
        <v>845</v>
      </c>
      <c r="D448" s="28"/>
      <c r="E448" s="88">
        <f t="shared" si="0"/>
        <v>0</v>
      </c>
      <c r="F448" s="90"/>
      <c r="G448" s="88">
        <f t="shared" si="1"/>
        <v>0</v>
      </c>
      <c r="H448" s="82" t="s">
        <v>88</v>
      </c>
      <c r="I448" s="112" t="s">
        <v>51</v>
      </c>
    </row>
    <row r="449" spans="1:9" ht="12.75" x14ac:dyDescent="0.2">
      <c r="A449" s="109">
        <v>65462006</v>
      </c>
      <c r="B449" s="26" t="s">
        <v>14</v>
      </c>
      <c r="C449" s="82" t="s">
        <v>846</v>
      </c>
      <c r="D449" s="28"/>
      <c r="E449" s="88">
        <f t="shared" si="0"/>
        <v>0</v>
      </c>
      <c r="F449" s="90"/>
      <c r="G449" s="88">
        <f t="shared" si="1"/>
        <v>0</v>
      </c>
      <c r="H449" s="82" t="s">
        <v>88</v>
      </c>
      <c r="I449" s="112" t="s">
        <v>51</v>
      </c>
    </row>
    <row r="450" spans="1:9" ht="12.75" x14ac:dyDescent="0.2">
      <c r="A450" s="109">
        <v>65462006</v>
      </c>
      <c r="B450" s="26" t="s">
        <v>14</v>
      </c>
      <c r="C450" s="82" t="s">
        <v>847</v>
      </c>
      <c r="D450" s="28"/>
      <c r="E450" s="88">
        <f t="shared" si="0"/>
        <v>0</v>
      </c>
      <c r="F450" s="90"/>
      <c r="G450" s="88">
        <f t="shared" si="1"/>
        <v>0</v>
      </c>
      <c r="H450" s="82" t="s">
        <v>88</v>
      </c>
      <c r="I450" s="112" t="s">
        <v>51</v>
      </c>
    </row>
    <row r="451" spans="1:9" ht="12.75" x14ac:dyDescent="0.2">
      <c r="A451" s="116">
        <v>65462006</v>
      </c>
      <c r="B451" s="118" t="s">
        <v>14</v>
      </c>
      <c r="C451" s="21" t="s">
        <v>848</v>
      </c>
      <c r="D451" s="101"/>
      <c r="E451" s="103">
        <f t="shared" si="0"/>
        <v>0</v>
      </c>
      <c r="F451" s="24"/>
      <c r="G451" s="103">
        <f t="shared" si="1"/>
        <v>0</v>
      </c>
      <c r="H451" s="21" t="s">
        <v>88</v>
      </c>
      <c r="I451" s="120" t="s">
        <v>51</v>
      </c>
    </row>
    <row r="452" spans="1:9" ht="12.75" x14ac:dyDescent="0.2">
      <c r="A452" s="44">
        <v>160352010</v>
      </c>
      <c r="B452" s="171" t="s">
        <v>14</v>
      </c>
      <c r="C452" s="14" t="s">
        <v>849</v>
      </c>
      <c r="D452" s="100"/>
      <c r="E452" s="46">
        <f t="shared" si="0"/>
        <v>0</v>
      </c>
      <c r="F452" s="17"/>
      <c r="G452" s="46">
        <f t="shared" si="1"/>
        <v>0</v>
      </c>
      <c r="H452" s="14" t="s">
        <v>88</v>
      </c>
      <c r="I452" s="49" t="s">
        <v>51</v>
      </c>
    </row>
    <row r="453" spans="1:9" ht="12.75" x14ac:dyDescent="0.2">
      <c r="A453" s="109">
        <v>160352010</v>
      </c>
      <c r="B453" s="26" t="s">
        <v>14</v>
      </c>
      <c r="C453" s="82" t="s">
        <v>850</v>
      </c>
      <c r="D453" s="28"/>
      <c r="E453" s="88">
        <f t="shared" si="0"/>
        <v>0</v>
      </c>
      <c r="F453" s="90"/>
      <c r="G453" s="88">
        <f t="shared" si="1"/>
        <v>0</v>
      </c>
      <c r="H453" s="82" t="s">
        <v>88</v>
      </c>
      <c r="I453" s="112" t="s">
        <v>51</v>
      </c>
    </row>
    <row r="454" spans="1:9" ht="12.75" x14ac:dyDescent="0.2">
      <c r="A454" s="109">
        <v>160352010</v>
      </c>
      <c r="B454" s="26" t="s">
        <v>14</v>
      </c>
      <c r="C454" s="82" t="s">
        <v>851</v>
      </c>
      <c r="D454" s="28"/>
      <c r="E454" s="88">
        <f t="shared" si="0"/>
        <v>0</v>
      </c>
      <c r="F454" s="90"/>
      <c r="G454" s="88">
        <f t="shared" si="1"/>
        <v>0</v>
      </c>
      <c r="H454" s="82" t="s">
        <v>88</v>
      </c>
      <c r="I454" s="112" t="s">
        <v>51</v>
      </c>
    </row>
    <row r="455" spans="1:9" ht="12.75" x14ac:dyDescent="0.2">
      <c r="A455" s="109">
        <v>160352010</v>
      </c>
      <c r="B455" s="26" t="s">
        <v>14</v>
      </c>
      <c r="C455" s="82" t="s">
        <v>852</v>
      </c>
      <c r="D455" s="28"/>
      <c r="E455" s="88">
        <f t="shared" si="0"/>
        <v>0</v>
      </c>
      <c r="F455" s="90"/>
      <c r="G455" s="88">
        <f t="shared" si="1"/>
        <v>0</v>
      </c>
      <c r="H455" s="82" t="s">
        <v>88</v>
      </c>
      <c r="I455" s="112" t="s">
        <v>51</v>
      </c>
    </row>
    <row r="456" spans="1:9" ht="12.75" x14ac:dyDescent="0.2">
      <c r="A456" s="109">
        <v>160352010</v>
      </c>
      <c r="B456" s="26" t="s">
        <v>14</v>
      </c>
      <c r="C456" s="82" t="s">
        <v>853</v>
      </c>
      <c r="D456" s="28"/>
      <c r="E456" s="88">
        <f t="shared" si="0"/>
        <v>0</v>
      </c>
      <c r="F456" s="90"/>
      <c r="G456" s="88">
        <f t="shared" si="1"/>
        <v>0</v>
      </c>
      <c r="H456" s="82" t="s">
        <v>88</v>
      </c>
      <c r="I456" s="112" t="s">
        <v>51</v>
      </c>
    </row>
    <row r="457" spans="1:9" ht="12.75" x14ac:dyDescent="0.2">
      <c r="A457" s="109">
        <v>160352010</v>
      </c>
      <c r="B457" s="26" t="s">
        <v>14</v>
      </c>
      <c r="C457" s="82" t="s">
        <v>854</v>
      </c>
      <c r="D457" s="28"/>
      <c r="E457" s="88">
        <f t="shared" si="0"/>
        <v>0</v>
      </c>
      <c r="F457" s="90"/>
      <c r="G457" s="88">
        <f t="shared" si="1"/>
        <v>0</v>
      </c>
      <c r="H457" s="82" t="s">
        <v>88</v>
      </c>
      <c r="I457" s="112" t="s">
        <v>51</v>
      </c>
    </row>
    <row r="458" spans="1:9" ht="12.75" x14ac:dyDescent="0.2">
      <c r="A458" s="109">
        <v>160352010</v>
      </c>
      <c r="B458" s="26" t="s">
        <v>14</v>
      </c>
      <c r="C458" s="82" t="s">
        <v>855</v>
      </c>
      <c r="D458" s="28"/>
      <c r="E458" s="88">
        <f t="shared" si="0"/>
        <v>0</v>
      </c>
      <c r="F458" s="90"/>
      <c r="G458" s="88">
        <f t="shared" si="1"/>
        <v>0</v>
      </c>
      <c r="H458" s="82" t="s">
        <v>88</v>
      </c>
      <c r="I458" s="112" t="s">
        <v>51</v>
      </c>
    </row>
    <row r="459" spans="1:9" ht="12.75" x14ac:dyDescent="0.2">
      <c r="A459" s="109">
        <v>160352010</v>
      </c>
      <c r="B459" s="26" t="s">
        <v>14</v>
      </c>
      <c r="C459" s="82" t="s">
        <v>856</v>
      </c>
      <c r="D459" s="28"/>
      <c r="E459" s="88">
        <f t="shared" si="0"/>
        <v>0</v>
      </c>
      <c r="F459" s="90"/>
      <c r="G459" s="88">
        <f t="shared" si="1"/>
        <v>0</v>
      </c>
      <c r="H459" s="82" t="s">
        <v>88</v>
      </c>
      <c r="I459" s="112" t="s">
        <v>51</v>
      </c>
    </row>
    <row r="460" spans="1:9" ht="12.75" x14ac:dyDescent="0.2">
      <c r="A460" s="109">
        <v>160352010</v>
      </c>
      <c r="B460" s="26" t="s">
        <v>14</v>
      </c>
      <c r="C460" s="82" t="s">
        <v>857</v>
      </c>
      <c r="D460" s="28"/>
      <c r="E460" s="88">
        <f t="shared" si="0"/>
        <v>0</v>
      </c>
      <c r="F460" s="90"/>
      <c r="G460" s="88">
        <f t="shared" si="1"/>
        <v>0</v>
      </c>
      <c r="H460" s="82" t="s">
        <v>88</v>
      </c>
      <c r="I460" s="112" t="s">
        <v>51</v>
      </c>
    </row>
    <row r="461" spans="1:9" ht="12.75" x14ac:dyDescent="0.2">
      <c r="A461" s="109">
        <v>160352010</v>
      </c>
      <c r="B461" s="26" t="s">
        <v>14</v>
      </c>
      <c r="C461" s="82" t="s">
        <v>858</v>
      </c>
      <c r="D461" s="28"/>
      <c r="E461" s="88">
        <f t="shared" si="0"/>
        <v>0</v>
      </c>
      <c r="F461" s="90"/>
      <c r="G461" s="88">
        <f t="shared" si="1"/>
        <v>0</v>
      </c>
      <c r="H461" s="82" t="s">
        <v>88</v>
      </c>
      <c r="I461" s="112" t="s">
        <v>51</v>
      </c>
    </row>
    <row r="462" spans="1:9" ht="12.75" x14ac:dyDescent="0.2">
      <c r="A462" s="109">
        <v>160352010</v>
      </c>
      <c r="B462" s="26" t="s">
        <v>14</v>
      </c>
      <c r="C462" s="82" t="s">
        <v>859</v>
      </c>
      <c r="D462" s="28"/>
      <c r="E462" s="88">
        <f t="shared" si="0"/>
        <v>0</v>
      </c>
      <c r="F462" s="90"/>
      <c r="G462" s="88">
        <f t="shared" si="1"/>
        <v>0</v>
      </c>
      <c r="H462" s="82" t="s">
        <v>88</v>
      </c>
      <c r="I462" s="112" t="s">
        <v>51</v>
      </c>
    </row>
    <row r="463" spans="1:9" ht="12.75" x14ac:dyDescent="0.2">
      <c r="A463" s="109">
        <v>160352010</v>
      </c>
      <c r="B463" s="26" t="s">
        <v>14</v>
      </c>
      <c r="C463" s="82" t="s">
        <v>860</v>
      </c>
      <c r="D463" s="28"/>
      <c r="E463" s="88">
        <f t="shared" si="0"/>
        <v>0</v>
      </c>
      <c r="F463" s="90"/>
      <c r="G463" s="88">
        <f t="shared" si="1"/>
        <v>0</v>
      </c>
      <c r="H463" s="82" t="s">
        <v>88</v>
      </c>
      <c r="I463" s="112" t="s">
        <v>51</v>
      </c>
    </row>
    <row r="464" spans="1:9" ht="12.75" x14ac:dyDescent="0.2">
      <c r="A464" s="109">
        <v>160352010</v>
      </c>
      <c r="B464" s="26" t="s">
        <v>14</v>
      </c>
      <c r="C464" s="82" t="s">
        <v>861</v>
      </c>
      <c r="D464" s="28"/>
      <c r="E464" s="88">
        <f t="shared" si="0"/>
        <v>0</v>
      </c>
      <c r="F464" s="90"/>
      <c r="G464" s="88">
        <f t="shared" si="1"/>
        <v>0</v>
      </c>
      <c r="H464" s="82" t="s">
        <v>88</v>
      </c>
      <c r="I464" s="112" t="s">
        <v>51</v>
      </c>
    </row>
    <row r="465" spans="1:9" ht="12.75" x14ac:dyDescent="0.2">
      <c r="A465" s="109">
        <v>160352010</v>
      </c>
      <c r="B465" s="26" t="s">
        <v>14</v>
      </c>
      <c r="C465" s="82" t="s">
        <v>862</v>
      </c>
      <c r="D465" s="28"/>
      <c r="E465" s="88">
        <f t="shared" si="0"/>
        <v>0</v>
      </c>
      <c r="F465" s="90"/>
      <c r="G465" s="88">
        <f t="shared" si="1"/>
        <v>0</v>
      </c>
      <c r="H465" s="82" t="s">
        <v>88</v>
      </c>
      <c r="I465" s="112" t="s">
        <v>51</v>
      </c>
    </row>
    <row r="466" spans="1:9" ht="12.75" x14ac:dyDescent="0.2">
      <c r="A466" s="116">
        <v>160352010</v>
      </c>
      <c r="B466" s="118" t="s">
        <v>14</v>
      </c>
      <c r="C466" s="21" t="s">
        <v>863</v>
      </c>
      <c r="D466" s="101"/>
      <c r="E466" s="103">
        <f t="shared" si="0"/>
        <v>0</v>
      </c>
      <c r="F466" s="24"/>
      <c r="G466" s="103">
        <f t="shared" si="1"/>
        <v>0</v>
      </c>
      <c r="H466" s="21" t="s">
        <v>88</v>
      </c>
      <c r="I466" s="120" t="s">
        <v>51</v>
      </c>
    </row>
    <row r="467" spans="1:9" ht="12.75" x14ac:dyDescent="0.2">
      <c r="A467" s="44">
        <v>140212009</v>
      </c>
      <c r="B467" s="13" t="s">
        <v>14</v>
      </c>
      <c r="C467" s="14" t="s">
        <v>864</v>
      </c>
      <c r="D467" s="100"/>
      <c r="E467" s="46">
        <f t="shared" si="0"/>
        <v>0</v>
      </c>
      <c r="F467" s="17"/>
      <c r="G467" s="46">
        <f t="shared" si="1"/>
        <v>0</v>
      </c>
      <c r="H467" s="14" t="s">
        <v>88</v>
      </c>
      <c r="I467" s="49" t="s">
        <v>51</v>
      </c>
    </row>
    <row r="468" spans="1:9" ht="12.75" x14ac:dyDescent="0.2">
      <c r="A468" s="109">
        <v>140212009</v>
      </c>
      <c r="B468" s="26" t="s">
        <v>14</v>
      </c>
      <c r="C468" s="82" t="s">
        <v>865</v>
      </c>
      <c r="D468" s="28"/>
      <c r="E468" s="88">
        <f t="shared" si="0"/>
        <v>0</v>
      </c>
      <c r="F468" s="90"/>
      <c r="G468" s="88">
        <f t="shared" si="1"/>
        <v>0</v>
      </c>
      <c r="H468" s="82" t="s">
        <v>88</v>
      </c>
      <c r="I468" s="112" t="s">
        <v>51</v>
      </c>
    </row>
    <row r="469" spans="1:9" ht="12.75" x14ac:dyDescent="0.2">
      <c r="A469" s="109">
        <v>140212009</v>
      </c>
      <c r="B469" s="26" t="s">
        <v>14</v>
      </c>
      <c r="C469" s="82" t="s">
        <v>866</v>
      </c>
      <c r="D469" s="28"/>
      <c r="E469" s="88">
        <f t="shared" si="0"/>
        <v>0</v>
      </c>
      <c r="F469" s="90"/>
      <c r="G469" s="88">
        <f t="shared" si="1"/>
        <v>0</v>
      </c>
      <c r="H469" s="82" t="s">
        <v>88</v>
      </c>
      <c r="I469" s="112" t="s">
        <v>51</v>
      </c>
    </row>
    <row r="470" spans="1:9" ht="12.75" x14ac:dyDescent="0.2">
      <c r="A470" s="109">
        <v>140212009</v>
      </c>
      <c r="B470" s="26" t="s">
        <v>14</v>
      </c>
      <c r="C470" s="82" t="s">
        <v>867</v>
      </c>
      <c r="D470" s="28"/>
      <c r="E470" s="88">
        <f t="shared" si="0"/>
        <v>0</v>
      </c>
      <c r="F470" s="90"/>
      <c r="G470" s="88">
        <f t="shared" si="1"/>
        <v>0</v>
      </c>
      <c r="H470" s="82" t="s">
        <v>88</v>
      </c>
      <c r="I470" s="112" t="s">
        <v>51</v>
      </c>
    </row>
    <row r="471" spans="1:9" ht="12.75" x14ac:dyDescent="0.2">
      <c r="A471" s="109">
        <v>140212009</v>
      </c>
      <c r="B471" s="26" t="s">
        <v>14</v>
      </c>
      <c r="C471" s="82" t="s">
        <v>868</v>
      </c>
      <c r="D471" s="28"/>
      <c r="E471" s="88">
        <f t="shared" si="0"/>
        <v>0</v>
      </c>
      <c r="F471" s="90"/>
      <c r="G471" s="88">
        <f t="shared" si="1"/>
        <v>0</v>
      </c>
      <c r="H471" s="82" t="s">
        <v>88</v>
      </c>
      <c r="I471" s="112" t="s">
        <v>51</v>
      </c>
    </row>
    <row r="472" spans="1:9" ht="12.75" x14ac:dyDescent="0.2">
      <c r="A472" s="109">
        <v>140212009</v>
      </c>
      <c r="B472" s="26" t="s">
        <v>14</v>
      </c>
      <c r="C472" s="82" t="s">
        <v>869</v>
      </c>
      <c r="D472" s="28"/>
      <c r="E472" s="88">
        <f t="shared" si="0"/>
        <v>0</v>
      </c>
      <c r="F472" s="90"/>
      <c r="G472" s="88">
        <f t="shared" si="1"/>
        <v>0</v>
      </c>
      <c r="H472" s="82" t="s">
        <v>88</v>
      </c>
      <c r="I472" s="112" t="s">
        <v>51</v>
      </c>
    </row>
    <row r="473" spans="1:9" ht="12.75" x14ac:dyDescent="0.2">
      <c r="A473" s="109">
        <v>140212009</v>
      </c>
      <c r="B473" s="26" t="s">
        <v>14</v>
      </c>
      <c r="C473" s="82" t="s">
        <v>870</v>
      </c>
      <c r="D473" s="28"/>
      <c r="E473" s="88">
        <f t="shared" si="0"/>
        <v>0</v>
      </c>
      <c r="F473" s="90"/>
      <c r="G473" s="88">
        <f t="shared" si="1"/>
        <v>0</v>
      </c>
      <c r="H473" s="82" t="s">
        <v>88</v>
      </c>
      <c r="I473" s="112" t="s">
        <v>51</v>
      </c>
    </row>
    <row r="474" spans="1:9" ht="12.75" x14ac:dyDescent="0.2">
      <c r="A474" s="109">
        <v>140212009</v>
      </c>
      <c r="B474" s="26" t="s">
        <v>14</v>
      </c>
      <c r="C474" s="82" t="s">
        <v>871</v>
      </c>
      <c r="D474" s="28"/>
      <c r="E474" s="88">
        <f t="shared" si="0"/>
        <v>0</v>
      </c>
      <c r="F474" s="90"/>
      <c r="G474" s="88">
        <f t="shared" si="1"/>
        <v>0</v>
      </c>
      <c r="H474" s="82" t="s">
        <v>88</v>
      </c>
      <c r="I474" s="112" t="s">
        <v>51</v>
      </c>
    </row>
    <row r="475" spans="1:9" ht="12.75" x14ac:dyDescent="0.2">
      <c r="A475" s="109">
        <v>140212009</v>
      </c>
      <c r="B475" s="26" t="s">
        <v>14</v>
      </c>
      <c r="C475" s="82" t="s">
        <v>872</v>
      </c>
      <c r="D475" s="28"/>
      <c r="E475" s="88">
        <f t="shared" si="0"/>
        <v>0</v>
      </c>
      <c r="F475" s="90"/>
      <c r="G475" s="88">
        <f t="shared" si="1"/>
        <v>0</v>
      </c>
      <c r="H475" s="82" t="s">
        <v>88</v>
      </c>
      <c r="I475" s="112" t="s">
        <v>51</v>
      </c>
    </row>
    <row r="476" spans="1:9" ht="12.75" x14ac:dyDescent="0.2">
      <c r="A476" s="109">
        <v>140212009</v>
      </c>
      <c r="B476" s="26" t="s">
        <v>14</v>
      </c>
      <c r="C476" s="82" t="s">
        <v>873</v>
      </c>
      <c r="D476" s="28"/>
      <c r="E476" s="88">
        <f t="shared" si="0"/>
        <v>0</v>
      </c>
      <c r="F476" s="90"/>
      <c r="G476" s="88">
        <f t="shared" si="1"/>
        <v>0</v>
      </c>
      <c r="H476" s="82" t="s">
        <v>88</v>
      </c>
      <c r="I476" s="112" t="s">
        <v>51</v>
      </c>
    </row>
    <row r="477" spans="1:9" ht="12.75" x14ac:dyDescent="0.2">
      <c r="A477" s="109">
        <v>140212009</v>
      </c>
      <c r="B477" s="26" t="s">
        <v>14</v>
      </c>
      <c r="C477" s="82" t="s">
        <v>874</v>
      </c>
      <c r="D477" s="28"/>
      <c r="E477" s="88">
        <f t="shared" si="0"/>
        <v>0</v>
      </c>
      <c r="F477" s="90"/>
      <c r="G477" s="88">
        <f t="shared" si="1"/>
        <v>0</v>
      </c>
      <c r="H477" s="82" t="s">
        <v>88</v>
      </c>
      <c r="I477" s="112" t="s">
        <v>51</v>
      </c>
    </row>
    <row r="478" spans="1:9" ht="12.75" x14ac:dyDescent="0.2">
      <c r="A478" s="109">
        <v>140212009</v>
      </c>
      <c r="B478" s="26" t="s">
        <v>14</v>
      </c>
      <c r="C478" s="82" t="s">
        <v>875</v>
      </c>
      <c r="D478" s="28"/>
      <c r="E478" s="88">
        <f t="shared" si="0"/>
        <v>0</v>
      </c>
      <c r="F478" s="90"/>
      <c r="G478" s="88">
        <f t="shared" si="1"/>
        <v>0</v>
      </c>
      <c r="H478" s="82" t="s">
        <v>88</v>
      </c>
      <c r="I478" s="112" t="s">
        <v>51</v>
      </c>
    </row>
    <row r="479" spans="1:9" ht="12.75" x14ac:dyDescent="0.2">
      <c r="A479" s="109">
        <v>140212009</v>
      </c>
      <c r="B479" s="26" t="s">
        <v>14</v>
      </c>
      <c r="C479" s="82" t="s">
        <v>876</v>
      </c>
      <c r="D479" s="28"/>
      <c r="E479" s="88">
        <f t="shared" si="0"/>
        <v>0</v>
      </c>
      <c r="F479" s="90"/>
      <c r="G479" s="88">
        <f t="shared" si="1"/>
        <v>0</v>
      </c>
      <c r="H479" s="82" t="s">
        <v>88</v>
      </c>
      <c r="I479" s="112" t="s">
        <v>51</v>
      </c>
    </row>
    <row r="480" spans="1:9" ht="12.75" x14ac:dyDescent="0.2">
      <c r="A480" s="109">
        <v>140212009</v>
      </c>
      <c r="B480" s="26" t="s">
        <v>14</v>
      </c>
      <c r="C480" s="82" t="s">
        <v>877</v>
      </c>
      <c r="D480" s="28"/>
      <c r="E480" s="88">
        <f t="shared" si="0"/>
        <v>0</v>
      </c>
      <c r="F480" s="90"/>
      <c r="G480" s="88">
        <f t="shared" si="1"/>
        <v>0</v>
      </c>
      <c r="H480" s="82" t="s">
        <v>88</v>
      </c>
      <c r="I480" s="112" t="s">
        <v>51</v>
      </c>
    </row>
    <row r="481" spans="1:9" ht="12.75" x14ac:dyDescent="0.2">
      <c r="A481" s="116">
        <v>140212009</v>
      </c>
      <c r="B481" s="118" t="s">
        <v>14</v>
      </c>
      <c r="C481" s="21" t="s">
        <v>878</v>
      </c>
      <c r="D481" s="101"/>
      <c r="E481" s="103">
        <f t="shared" si="0"/>
        <v>0</v>
      </c>
      <c r="F481" s="24"/>
      <c r="G481" s="103">
        <f t="shared" si="1"/>
        <v>0</v>
      </c>
      <c r="H481" s="21" t="s">
        <v>88</v>
      </c>
      <c r="I481" s="120" t="s">
        <v>51</v>
      </c>
    </row>
    <row r="482" spans="1:9" ht="12.75" x14ac:dyDescent="0.2">
      <c r="A482" s="44">
        <v>46052008</v>
      </c>
      <c r="B482" s="171" t="s">
        <v>14</v>
      </c>
      <c r="C482" s="14" t="s">
        <v>879</v>
      </c>
      <c r="D482" s="100"/>
      <c r="E482" s="46">
        <f t="shared" si="0"/>
        <v>0</v>
      </c>
      <c r="F482" s="17"/>
      <c r="G482" s="46">
        <f t="shared" si="1"/>
        <v>0</v>
      </c>
      <c r="H482" s="14" t="s">
        <v>880</v>
      </c>
      <c r="I482" s="49" t="s">
        <v>51</v>
      </c>
    </row>
    <row r="483" spans="1:9" ht="12.75" x14ac:dyDescent="0.2">
      <c r="A483" s="109">
        <v>46052008</v>
      </c>
      <c r="B483" s="26" t="s">
        <v>14</v>
      </c>
      <c r="C483" s="82" t="s">
        <v>881</v>
      </c>
      <c r="D483" s="28"/>
      <c r="E483" s="88">
        <f t="shared" si="0"/>
        <v>0</v>
      </c>
      <c r="F483" s="90"/>
      <c r="G483" s="88">
        <f t="shared" si="1"/>
        <v>0</v>
      </c>
      <c r="H483" s="82" t="s">
        <v>880</v>
      </c>
      <c r="I483" s="112" t="s">
        <v>51</v>
      </c>
    </row>
    <row r="484" spans="1:9" ht="12.75" x14ac:dyDescent="0.2">
      <c r="A484" s="109">
        <v>46052008</v>
      </c>
      <c r="B484" s="26" t="s">
        <v>14</v>
      </c>
      <c r="C484" s="82" t="s">
        <v>882</v>
      </c>
      <c r="D484" s="28"/>
      <c r="E484" s="88">
        <f t="shared" si="0"/>
        <v>0</v>
      </c>
      <c r="F484" s="90"/>
      <c r="G484" s="88">
        <f t="shared" si="1"/>
        <v>0</v>
      </c>
      <c r="H484" s="82" t="s">
        <v>880</v>
      </c>
      <c r="I484" s="112" t="s">
        <v>51</v>
      </c>
    </row>
    <row r="485" spans="1:9" ht="12.75" x14ac:dyDescent="0.2">
      <c r="A485" s="109">
        <v>46052008</v>
      </c>
      <c r="B485" s="26" t="s">
        <v>14</v>
      </c>
      <c r="C485" s="82" t="s">
        <v>883</v>
      </c>
      <c r="D485" s="28"/>
      <c r="E485" s="88">
        <f t="shared" si="0"/>
        <v>0</v>
      </c>
      <c r="F485" s="90"/>
      <c r="G485" s="88">
        <f t="shared" si="1"/>
        <v>0</v>
      </c>
      <c r="H485" s="82" t="s">
        <v>880</v>
      </c>
      <c r="I485" s="112" t="s">
        <v>51</v>
      </c>
    </row>
    <row r="486" spans="1:9" ht="12.75" x14ac:dyDescent="0.2">
      <c r="A486" s="109">
        <v>46052008</v>
      </c>
      <c r="B486" s="26" t="s">
        <v>14</v>
      </c>
      <c r="C486" s="82" t="s">
        <v>884</v>
      </c>
      <c r="D486" s="28"/>
      <c r="E486" s="88">
        <f t="shared" si="0"/>
        <v>0</v>
      </c>
      <c r="F486" s="90"/>
      <c r="G486" s="88">
        <f t="shared" si="1"/>
        <v>0</v>
      </c>
      <c r="H486" s="82" t="s">
        <v>880</v>
      </c>
      <c r="I486" s="112" t="s">
        <v>51</v>
      </c>
    </row>
    <row r="487" spans="1:9" ht="12.75" x14ac:dyDescent="0.2">
      <c r="A487" s="109">
        <v>46052008</v>
      </c>
      <c r="B487" s="26" t="s">
        <v>14</v>
      </c>
      <c r="C487" s="82" t="s">
        <v>885</v>
      </c>
      <c r="D487" s="28"/>
      <c r="E487" s="88">
        <f t="shared" si="0"/>
        <v>0</v>
      </c>
      <c r="F487" s="90"/>
      <c r="G487" s="88">
        <f t="shared" si="1"/>
        <v>0</v>
      </c>
      <c r="H487" s="82" t="s">
        <v>880</v>
      </c>
      <c r="I487" s="112" t="s">
        <v>51</v>
      </c>
    </row>
    <row r="488" spans="1:9" ht="12.75" x14ac:dyDescent="0.2">
      <c r="A488" s="109">
        <v>46052008</v>
      </c>
      <c r="B488" s="26" t="s">
        <v>14</v>
      </c>
      <c r="C488" s="82" t="s">
        <v>886</v>
      </c>
      <c r="D488" s="28"/>
      <c r="E488" s="88">
        <f t="shared" si="0"/>
        <v>0</v>
      </c>
      <c r="F488" s="90"/>
      <c r="G488" s="88">
        <f t="shared" si="1"/>
        <v>0</v>
      </c>
      <c r="H488" s="82" t="s">
        <v>880</v>
      </c>
      <c r="I488" s="112" t="s">
        <v>51</v>
      </c>
    </row>
    <row r="489" spans="1:9" ht="12.75" x14ac:dyDescent="0.2">
      <c r="A489" s="109">
        <v>46052008</v>
      </c>
      <c r="B489" s="26" t="s">
        <v>14</v>
      </c>
      <c r="C489" s="82" t="s">
        <v>887</v>
      </c>
      <c r="D489" s="28"/>
      <c r="E489" s="88">
        <f t="shared" si="0"/>
        <v>0</v>
      </c>
      <c r="F489" s="90"/>
      <c r="G489" s="88">
        <f t="shared" si="1"/>
        <v>0</v>
      </c>
      <c r="H489" s="82" t="s">
        <v>880</v>
      </c>
      <c r="I489" s="112" t="s">
        <v>51</v>
      </c>
    </row>
    <row r="490" spans="1:9" ht="12.75" x14ac:dyDescent="0.2">
      <c r="A490" s="109">
        <v>46052008</v>
      </c>
      <c r="B490" s="26" t="s">
        <v>14</v>
      </c>
      <c r="C490" s="82" t="s">
        <v>888</v>
      </c>
      <c r="D490" s="28"/>
      <c r="E490" s="88">
        <f t="shared" si="0"/>
        <v>0</v>
      </c>
      <c r="F490" s="90"/>
      <c r="G490" s="88">
        <f t="shared" si="1"/>
        <v>0</v>
      </c>
      <c r="H490" s="82" t="s">
        <v>880</v>
      </c>
      <c r="I490" s="112" t="s">
        <v>51</v>
      </c>
    </row>
    <row r="491" spans="1:9" ht="12.75" x14ac:dyDescent="0.2">
      <c r="A491" s="109">
        <v>46052008</v>
      </c>
      <c r="B491" s="26" t="s">
        <v>14</v>
      </c>
      <c r="C491" s="82" t="s">
        <v>889</v>
      </c>
      <c r="D491" s="28"/>
      <c r="E491" s="88">
        <f t="shared" si="0"/>
        <v>0</v>
      </c>
      <c r="F491" s="90"/>
      <c r="G491" s="88">
        <f t="shared" si="1"/>
        <v>0</v>
      </c>
      <c r="H491" s="82" t="s">
        <v>880</v>
      </c>
      <c r="I491" s="112" t="s">
        <v>51</v>
      </c>
    </row>
    <row r="492" spans="1:9" ht="12.75" x14ac:dyDescent="0.2">
      <c r="A492" s="109">
        <v>46052008</v>
      </c>
      <c r="B492" s="26" t="s">
        <v>14</v>
      </c>
      <c r="C492" s="82" t="s">
        <v>890</v>
      </c>
      <c r="D492" s="28"/>
      <c r="E492" s="88">
        <f t="shared" si="0"/>
        <v>0</v>
      </c>
      <c r="F492" s="90"/>
      <c r="G492" s="88">
        <f t="shared" si="1"/>
        <v>0</v>
      </c>
      <c r="H492" s="82" t="s">
        <v>880</v>
      </c>
      <c r="I492" s="112" t="s">
        <v>51</v>
      </c>
    </row>
    <row r="493" spans="1:9" ht="12.75" x14ac:dyDescent="0.2">
      <c r="A493" s="109">
        <v>46052008</v>
      </c>
      <c r="B493" s="26" t="s">
        <v>14</v>
      </c>
      <c r="C493" s="82" t="s">
        <v>891</v>
      </c>
      <c r="D493" s="28"/>
      <c r="E493" s="88">
        <f t="shared" si="0"/>
        <v>0</v>
      </c>
      <c r="F493" s="90"/>
      <c r="G493" s="88">
        <f t="shared" si="1"/>
        <v>0</v>
      </c>
      <c r="H493" s="82" t="s">
        <v>880</v>
      </c>
      <c r="I493" s="112" t="s">
        <v>51</v>
      </c>
    </row>
    <row r="494" spans="1:9" ht="12.75" x14ac:dyDescent="0.2">
      <c r="A494" s="109">
        <v>46052008</v>
      </c>
      <c r="B494" s="26" t="s">
        <v>14</v>
      </c>
      <c r="C494" s="82" t="s">
        <v>892</v>
      </c>
      <c r="D494" s="28"/>
      <c r="E494" s="88">
        <f t="shared" si="0"/>
        <v>0</v>
      </c>
      <c r="F494" s="90"/>
      <c r="G494" s="88">
        <f t="shared" si="1"/>
        <v>0</v>
      </c>
      <c r="H494" s="82" t="s">
        <v>880</v>
      </c>
      <c r="I494" s="112" t="s">
        <v>51</v>
      </c>
    </row>
    <row r="495" spans="1:9" ht="12.75" x14ac:dyDescent="0.2">
      <c r="A495" s="109">
        <v>46052008</v>
      </c>
      <c r="B495" s="26" t="s">
        <v>14</v>
      </c>
      <c r="C495" s="82" t="s">
        <v>893</v>
      </c>
      <c r="D495" s="28"/>
      <c r="E495" s="88">
        <f t="shared" si="0"/>
        <v>0</v>
      </c>
      <c r="F495" s="90"/>
      <c r="G495" s="88">
        <f t="shared" si="1"/>
        <v>0</v>
      </c>
      <c r="H495" s="82" t="s">
        <v>880</v>
      </c>
      <c r="I495" s="112" t="s">
        <v>51</v>
      </c>
    </row>
    <row r="496" spans="1:9" ht="12.75" x14ac:dyDescent="0.2">
      <c r="A496" s="116">
        <v>46052008</v>
      </c>
      <c r="B496" s="118" t="s">
        <v>14</v>
      </c>
      <c r="C496" s="21" t="s">
        <v>894</v>
      </c>
      <c r="D496" s="101"/>
      <c r="E496" s="103">
        <f t="shared" si="0"/>
        <v>0</v>
      </c>
      <c r="F496" s="24"/>
      <c r="G496" s="103">
        <f t="shared" si="1"/>
        <v>0</v>
      </c>
      <c r="H496" s="21" t="s">
        <v>880</v>
      </c>
      <c r="I496" s="120" t="s">
        <v>51</v>
      </c>
    </row>
    <row r="497" spans="1:9" ht="12.75" x14ac:dyDescent="0.2">
      <c r="A497" s="44">
        <v>92672005</v>
      </c>
      <c r="B497" s="13" t="s">
        <v>14</v>
      </c>
      <c r="C497" s="14" t="s">
        <v>895</v>
      </c>
      <c r="D497" s="100"/>
      <c r="E497" s="46">
        <f t="shared" si="0"/>
        <v>0</v>
      </c>
      <c r="F497" s="17"/>
      <c r="G497" s="46">
        <f t="shared" si="1"/>
        <v>0</v>
      </c>
      <c r="H497" s="14" t="s">
        <v>88</v>
      </c>
      <c r="I497" s="49" t="s">
        <v>51</v>
      </c>
    </row>
    <row r="498" spans="1:9" ht="12.75" x14ac:dyDescent="0.2">
      <c r="A498" s="109">
        <v>92672005</v>
      </c>
      <c r="B498" s="26" t="s">
        <v>14</v>
      </c>
      <c r="C498" s="82" t="s">
        <v>896</v>
      </c>
      <c r="D498" s="28"/>
      <c r="E498" s="88">
        <f t="shared" si="0"/>
        <v>0</v>
      </c>
      <c r="F498" s="90"/>
      <c r="G498" s="88">
        <f t="shared" si="1"/>
        <v>0</v>
      </c>
      <c r="H498" s="82" t="s">
        <v>88</v>
      </c>
      <c r="I498" s="112" t="s">
        <v>51</v>
      </c>
    </row>
    <row r="499" spans="1:9" ht="12.75" x14ac:dyDescent="0.2">
      <c r="A499" s="109">
        <v>92672005</v>
      </c>
      <c r="B499" s="26" t="s">
        <v>14</v>
      </c>
      <c r="C499" s="82" t="s">
        <v>897</v>
      </c>
      <c r="D499" s="28"/>
      <c r="E499" s="88">
        <f t="shared" si="0"/>
        <v>0</v>
      </c>
      <c r="F499" s="90"/>
      <c r="G499" s="88">
        <f t="shared" si="1"/>
        <v>0</v>
      </c>
      <c r="H499" s="82" t="s">
        <v>88</v>
      </c>
      <c r="I499" s="112" t="s">
        <v>51</v>
      </c>
    </row>
    <row r="500" spans="1:9" ht="12.75" x14ac:dyDescent="0.2">
      <c r="A500" s="109">
        <v>92672005</v>
      </c>
      <c r="B500" s="26" t="s">
        <v>14</v>
      </c>
      <c r="C500" s="82" t="s">
        <v>898</v>
      </c>
      <c r="D500" s="28"/>
      <c r="E500" s="88">
        <f t="shared" si="0"/>
        <v>0</v>
      </c>
      <c r="F500" s="90"/>
      <c r="G500" s="88">
        <f t="shared" si="1"/>
        <v>0</v>
      </c>
      <c r="H500" s="82" t="s">
        <v>88</v>
      </c>
      <c r="I500" s="112" t="s">
        <v>51</v>
      </c>
    </row>
    <row r="501" spans="1:9" ht="12.75" x14ac:dyDescent="0.2">
      <c r="A501" s="109">
        <v>92672005</v>
      </c>
      <c r="B501" s="26" t="s">
        <v>14</v>
      </c>
      <c r="C501" s="82" t="s">
        <v>899</v>
      </c>
      <c r="D501" s="28"/>
      <c r="E501" s="88">
        <f t="shared" si="0"/>
        <v>0</v>
      </c>
      <c r="F501" s="90"/>
      <c r="G501" s="88">
        <f t="shared" si="1"/>
        <v>0</v>
      </c>
      <c r="H501" s="82" t="s">
        <v>88</v>
      </c>
      <c r="I501" s="112" t="s">
        <v>51</v>
      </c>
    </row>
    <row r="502" spans="1:9" ht="12.75" x14ac:dyDescent="0.2">
      <c r="A502" s="109">
        <v>92672005</v>
      </c>
      <c r="B502" s="26" t="s">
        <v>14</v>
      </c>
      <c r="C502" s="82" t="s">
        <v>900</v>
      </c>
      <c r="D502" s="28"/>
      <c r="E502" s="88">
        <f t="shared" si="0"/>
        <v>0</v>
      </c>
      <c r="F502" s="90"/>
      <c r="G502" s="88">
        <f t="shared" si="1"/>
        <v>0</v>
      </c>
      <c r="H502" s="82" t="s">
        <v>88</v>
      </c>
      <c r="I502" s="112" t="s">
        <v>51</v>
      </c>
    </row>
    <row r="503" spans="1:9" ht="12.75" x14ac:dyDescent="0.2">
      <c r="A503" s="109">
        <v>92672005</v>
      </c>
      <c r="B503" s="26" t="s">
        <v>14</v>
      </c>
      <c r="C503" s="82" t="s">
        <v>901</v>
      </c>
      <c r="D503" s="28"/>
      <c r="E503" s="88">
        <f t="shared" si="0"/>
        <v>0</v>
      </c>
      <c r="F503" s="90"/>
      <c r="G503" s="88">
        <f t="shared" si="1"/>
        <v>0</v>
      </c>
      <c r="H503" s="82" t="s">
        <v>88</v>
      </c>
      <c r="I503" s="112" t="s">
        <v>51</v>
      </c>
    </row>
    <row r="504" spans="1:9" ht="12.75" x14ac:dyDescent="0.2">
      <c r="A504" s="116">
        <v>92672005</v>
      </c>
      <c r="B504" s="118" t="s">
        <v>14</v>
      </c>
      <c r="C504" s="21" t="s">
        <v>902</v>
      </c>
      <c r="D504" s="101"/>
      <c r="E504" s="103">
        <f t="shared" si="0"/>
        <v>0</v>
      </c>
      <c r="F504" s="24"/>
      <c r="G504" s="103">
        <f t="shared" si="1"/>
        <v>0</v>
      </c>
      <c r="H504" s="21" t="s">
        <v>88</v>
      </c>
      <c r="I504" s="120" t="s">
        <v>51</v>
      </c>
    </row>
    <row r="505" spans="1:9" ht="12.75" x14ac:dyDescent="0.2">
      <c r="A505" s="44">
        <v>133592005</v>
      </c>
      <c r="B505" s="13" t="s">
        <v>14</v>
      </c>
      <c r="C505" s="14" t="s">
        <v>903</v>
      </c>
      <c r="D505" s="100"/>
      <c r="E505" s="46">
        <f t="shared" si="0"/>
        <v>0</v>
      </c>
      <c r="F505" s="17"/>
      <c r="G505" s="46">
        <f t="shared" si="1"/>
        <v>0</v>
      </c>
      <c r="H505" s="14" t="s">
        <v>315</v>
      </c>
      <c r="I505" s="49" t="s">
        <v>51</v>
      </c>
    </row>
    <row r="506" spans="1:9" ht="12.75" x14ac:dyDescent="0.2">
      <c r="A506" s="109">
        <v>133592005</v>
      </c>
      <c r="B506" s="26" t="s">
        <v>14</v>
      </c>
      <c r="C506" s="82" t="s">
        <v>904</v>
      </c>
      <c r="D506" s="28"/>
      <c r="E506" s="88">
        <f t="shared" si="0"/>
        <v>0</v>
      </c>
      <c r="F506" s="90"/>
      <c r="G506" s="88">
        <f t="shared" si="1"/>
        <v>0</v>
      </c>
      <c r="H506" s="82" t="s">
        <v>315</v>
      </c>
      <c r="I506" s="112" t="s">
        <v>51</v>
      </c>
    </row>
    <row r="507" spans="1:9" ht="12.75" x14ac:dyDescent="0.2">
      <c r="A507" s="109">
        <v>133592005</v>
      </c>
      <c r="B507" s="26" t="s">
        <v>14</v>
      </c>
      <c r="C507" s="82" t="s">
        <v>905</v>
      </c>
      <c r="D507" s="28"/>
      <c r="E507" s="88">
        <f t="shared" si="0"/>
        <v>0</v>
      </c>
      <c r="F507" s="90"/>
      <c r="G507" s="88">
        <f t="shared" si="1"/>
        <v>0</v>
      </c>
      <c r="H507" s="82" t="s">
        <v>315</v>
      </c>
      <c r="I507" s="112" t="s">
        <v>51</v>
      </c>
    </row>
    <row r="508" spans="1:9" ht="12.75" x14ac:dyDescent="0.2">
      <c r="A508" s="109">
        <v>133592005</v>
      </c>
      <c r="B508" s="26" t="s">
        <v>14</v>
      </c>
      <c r="C508" s="82" t="s">
        <v>906</v>
      </c>
      <c r="D508" s="28"/>
      <c r="E508" s="88">
        <f t="shared" si="0"/>
        <v>0</v>
      </c>
      <c r="F508" s="90"/>
      <c r="G508" s="88">
        <f t="shared" si="1"/>
        <v>0</v>
      </c>
      <c r="H508" s="82" t="s">
        <v>315</v>
      </c>
      <c r="I508" s="112" t="s">
        <v>51</v>
      </c>
    </row>
    <row r="509" spans="1:9" ht="12.75" x14ac:dyDescent="0.2">
      <c r="A509" s="109">
        <v>133592005</v>
      </c>
      <c r="B509" s="26" t="s">
        <v>14</v>
      </c>
      <c r="C509" s="82" t="s">
        <v>907</v>
      </c>
      <c r="D509" s="28"/>
      <c r="E509" s="88">
        <f t="shared" si="0"/>
        <v>0</v>
      </c>
      <c r="F509" s="90"/>
      <c r="G509" s="88">
        <f t="shared" si="1"/>
        <v>0</v>
      </c>
      <c r="H509" s="82" t="s">
        <v>315</v>
      </c>
      <c r="I509" s="112" t="s">
        <v>51</v>
      </c>
    </row>
    <row r="510" spans="1:9" ht="12.75" x14ac:dyDescent="0.2">
      <c r="A510" s="109">
        <v>133592005</v>
      </c>
      <c r="B510" s="26" t="s">
        <v>14</v>
      </c>
      <c r="C510" s="82" t="s">
        <v>908</v>
      </c>
      <c r="D510" s="28"/>
      <c r="E510" s="88">
        <f t="shared" si="0"/>
        <v>0</v>
      </c>
      <c r="F510" s="90"/>
      <c r="G510" s="88">
        <f t="shared" si="1"/>
        <v>0</v>
      </c>
      <c r="H510" s="82" t="s">
        <v>315</v>
      </c>
      <c r="I510" s="112" t="s">
        <v>51</v>
      </c>
    </row>
    <row r="511" spans="1:9" ht="12.75" x14ac:dyDescent="0.2">
      <c r="A511" s="109">
        <v>133592005</v>
      </c>
      <c r="B511" s="26" t="s">
        <v>14</v>
      </c>
      <c r="C511" s="82" t="s">
        <v>909</v>
      </c>
      <c r="D511" s="28"/>
      <c r="E511" s="88">
        <f t="shared" si="0"/>
        <v>0</v>
      </c>
      <c r="F511" s="90"/>
      <c r="G511" s="88">
        <f t="shared" si="1"/>
        <v>0</v>
      </c>
      <c r="H511" s="82" t="s">
        <v>315</v>
      </c>
      <c r="I511" s="112" t="s">
        <v>51</v>
      </c>
    </row>
    <row r="512" spans="1:9" ht="12.75" x14ac:dyDescent="0.2">
      <c r="A512" s="116">
        <v>133592005</v>
      </c>
      <c r="B512" s="118" t="s">
        <v>14</v>
      </c>
      <c r="C512" s="21" t="s">
        <v>910</v>
      </c>
      <c r="D512" s="101"/>
      <c r="E512" s="103">
        <f t="shared" si="0"/>
        <v>0</v>
      </c>
      <c r="F512" s="24"/>
      <c r="G512" s="103">
        <f t="shared" si="1"/>
        <v>0</v>
      </c>
      <c r="H512" s="21" t="s">
        <v>315</v>
      </c>
      <c r="I512" s="120" t="s">
        <v>51</v>
      </c>
    </row>
    <row r="513" spans="1:9" ht="12.75" x14ac:dyDescent="0.2">
      <c r="A513" s="44">
        <v>47792005</v>
      </c>
      <c r="B513" s="13" t="s">
        <v>14</v>
      </c>
      <c r="C513" s="14" t="s">
        <v>911</v>
      </c>
      <c r="D513" s="100"/>
      <c r="E513" s="46">
        <f t="shared" si="0"/>
        <v>0</v>
      </c>
      <c r="F513" s="17"/>
      <c r="G513" s="46">
        <f t="shared" si="1"/>
        <v>0</v>
      </c>
      <c r="H513" s="14" t="s">
        <v>880</v>
      </c>
      <c r="I513" s="49" t="s">
        <v>51</v>
      </c>
    </row>
    <row r="514" spans="1:9" ht="12.75" x14ac:dyDescent="0.2">
      <c r="A514" s="109">
        <v>47792005</v>
      </c>
      <c r="B514" s="26" t="s">
        <v>14</v>
      </c>
      <c r="C514" s="82" t="s">
        <v>912</v>
      </c>
      <c r="D514" s="28"/>
      <c r="E514" s="88">
        <f t="shared" si="0"/>
        <v>0</v>
      </c>
      <c r="F514" s="90"/>
      <c r="G514" s="88">
        <f t="shared" si="1"/>
        <v>0</v>
      </c>
      <c r="H514" s="82" t="s">
        <v>880</v>
      </c>
      <c r="I514" s="112" t="s">
        <v>51</v>
      </c>
    </row>
    <row r="515" spans="1:9" ht="12.75" x14ac:dyDescent="0.2">
      <c r="A515" s="109">
        <v>47792005</v>
      </c>
      <c r="B515" s="26" t="s">
        <v>14</v>
      </c>
      <c r="C515" s="82" t="s">
        <v>913</v>
      </c>
      <c r="D515" s="28"/>
      <c r="E515" s="88">
        <f t="shared" si="0"/>
        <v>0</v>
      </c>
      <c r="F515" s="90"/>
      <c r="G515" s="88">
        <f t="shared" si="1"/>
        <v>0</v>
      </c>
      <c r="H515" s="82" t="s">
        <v>880</v>
      </c>
      <c r="I515" s="112" t="s">
        <v>51</v>
      </c>
    </row>
    <row r="516" spans="1:9" ht="12.75" x14ac:dyDescent="0.2">
      <c r="A516" s="109">
        <v>47792005</v>
      </c>
      <c r="B516" s="26" t="s">
        <v>14</v>
      </c>
      <c r="C516" s="82" t="s">
        <v>914</v>
      </c>
      <c r="D516" s="28"/>
      <c r="E516" s="88">
        <f t="shared" si="0"/>
        <v>0</v>
      </c>
      <c r="F516" s="90"/>
      <c r="G516" s="88">
        <f t="shared" si="1"/>
        <v>0</v>
      </c>
      <c r="H516" s="82" t="s">
        <v>880</v>
      </c>
      <c r="I516" s="112" t="s">
        <v>51</v>
      </c>
    </row>
    <row r="517" spans="1:9" ht="12.75" x14ac:dyDescent="0.2">
      <c r="A517" s="109">
        <v>47792005</v>
      </c>
      <c r="B517" s="26" t="s">
        <v>14</v>
      </c>
      <c r="C517" s="82" t="s">
        <v>915</v>
      </c>
      <c r="D517" s="28"/>
      <c r="E517" s="88">
        <f t="shared" si="0"/>
        <v>0</v>
      </c>
      <c r="F517" s="90"/>
      <c r="G517" s="88">
        <f t="shared" si="1"/>
        <v>0</v>
      </c>
      <c r="H517" s="82" t="s">
        <v>880</v>
      </c>
      <c r="I517" s="112" t="s">
        <v>51</v>
      </c>
    </row>
    <row r="518" spans="1:9" ht="12.75" x14ac:dyDescent="0.2">
      <c r="A518" s="116">
        <v>47792005</v>
      </c>
      <c r="B518" s="118" t="s">
        <v>14</v>
      </c>
      <c r="C518" s="21" t="s">
        <v>916</v>
      </c>
      <c r="D518" s="101"/>
      <c r="E518" s="103">
        <f t="shared" si="0"/>
        <v>0</v>
      </c>
      <c r="F518" s="24"/>
      <c r="G518" s="103">
        <f t="shared" si="1"/>
        <v>0</v>
      </c>
      <c r="H518" s="21" t="s">
        <v>880</v>
      </c>
      <c r="I518" s="120" t="s">
        <v>51</v>
      </c>
    </row>
    <row r="519" spans="1:9" ht="12.75" x14ac:dyDescent="0.2">
      <c r="A519" s="44">
        <v>46962005</v>
      </c>
      <c r="B519" s="13" t="s">
        <v>14</v>
      </c>
      <c r="C519" s="14" t="s">
        <v>917</v>
      </c>
      <c r="D519" s="100"/>
      <c r="E519" s="46">
        <f t="shared" si="0"/>
        <v>0</v>
      </c>
      <c r="F519" s="17"/>
      <c r="G519" s="46">
        <f t="shared" si="1"/>
        <v>0</v>
      </c>
      <c r="H519" s="14" t="s">
        <v>88</v>
      </c>
      <c r="I519" s="49" t="s">
        <v>51</v>
      </c>
    </row>
    <row r="520" spans="1:9" ht="12.75" x14ac:dyDescent="0.2">
      <c r="A520" s="109">
        <v>46962005</v>
      </c>
      <c r="B520" s="26" t="s">
        <v>14</v>
      </c>
      <c r="C520" s="82" t="s">
        <v>918</v>
      </c>
      <c r="D520" s="28"/>
      <c r="E520" s="88">
        <f t="shared" si="0"/>
        <v>0</v>
      </c>
      <c r="F520" s="90"/>
      <c r="G520" s="88">
        <f t="shared" si="1"/>
        <v>0</v>
      </c>
      <c r="H520" s="82" t="s">
        <v>88</v>
      </c>
      <c r="I520" s="112" t="s">
        <v>51</v>
      </c>
    </row>
    <row r="521" spans="1:9" ht="12.75" x14ac:dyDescent="0.2">
      <c r="A521" s="109">
        <v>46962005</v>
      </c>
      <c r="B521" s="26" t="s">
        <v>14</v>
      </c>
      <c r="C521" s="82" t="s">
        <v>919</v>
      </c>
      <c r="D521" s="28"/>
      <c r="E521" s="88">
        <f t="shared" si="0"/>
        <v>0</v>
      </c>
      <c r="F521" s="90"/>
      <c r="G521" s="88">
        <f t="shared" si="1"/>
        <v>0</v>
      </c>
      <c r="H521" s="82" t="s">
        <v>88</v>
      </c>
      <c r="I521" s="112" t="s">
        <v>51</v>
      </c>
    </row>
    <row r="522" spans="1:9" ht="12.75" x14ac:dyDescent="0.2">
      <c r="A522" s="109">
        <v>46962005</v>
      </c>
      <c r="B522" s="26" t="s">
        <v>14</v>
      </c>
      <c r="C522" s="82" t="s">
        <v>920</v>
      </c>
      <c r="D522" s="28"/>
      <c r="E522" s="88">
        <f t="shared" si="0"/>
        <v>0</v>
      </c>
      <c r="F522" s="90"/>
      <c r="G522" s="88">
        <f t="shared" si="1"/>
        <v>0</v>
      </c>
      <c r="H522" s="82" t="s">
        <v>88</v>
      </c>
      <c r="I522" s="112" t="s">
        <v>51</v>
      </c>
    </row>
    <row r="523" spans="1:9" ht="12.75" x14ac:dyDescent="0.2">
      <c r="A523" s="116">
        <v>46962005</v>
      </c>
      <c r="B523" s="118" t="s">
        <v>14</v>
      </c>
      <c r="C523" s="21" t="s">
        <v>921</v>
      </c>
      <c r="D523" s="101"/>
      <c r="E523" s="103">
        <f t="shared" si="0"/>
        <v>0</v>
      </c>
      <c r="F523" s="24"/>
      <c r="G523" s="103">
        <f t="shared" si="1"/>
        <v>0</v>
      </c>
      <c r="H523" s="21" t="s">
        <v>88</v>
      </c>
      <c r="I523" s="120" t="s">
        <v>51</v>
      </c>
    </row>
    <row r="524" spans="1:9" ht="12.75" x14ac:dyDescent="0.2">
      <c r="A524" s="44">
        <v>261862008</v>
      </c>
      <c r="B524" s="13" t="s">
        <v>14</v>
      </c>
      <c r="C524" s="14" t="s">
        <v>922</v>
      </c>
      <c r="D524" s="100"/>
      <c r="E524" s="46">
        <f t="shared" si="0"/>
        <v>0</v>
      </c>
      <c r="F524" s="17"/>
      <c r="G524" s="46">
        <f t="shared" si="1"/>
        <v>0</v>
      </c>
      <c r="H524" s="14" t="s">
        <v>73</v>
      </c>
      <c r="I524" s="49" t="s">
        <v>51</v>
      </c>
    </row>
    <row r="525" spans="1:9" ht="12.75" x14ac:dyDescent="0.2">
      <c r="A525" s="210">
        <v>261862008</v>
      </c>
      <c r="B525" s="211" t="s">
        <v>14</v>
      </c>
      <c r="C525" s="212" t="s">
        <v>923</v>
      </c>
      <c r="D525" s="220"/>
      <c r="E525" s="214">
        <f t="shared" si="0"/>
        <v>0</v>
      </c>
      <c r="F525" s="215"/>
      <c r="G525" s="214">
        <f t="shared" si="1"/>
        <v>0</v>
      </c>
      <c r="H525" s="212" t="s">
        <v>52</v>
      </c>
      <c r="I525" s="217" t="s">
        <v>51</v>
      </c>
    </row>
    <row r="526" spans="1:9" ht="12.75" x14ac:dyDescent="0.2">
      <c r="A526" s="44">
        <v>33462005</v>
      </c>
      <c r="B526" s="13" t="s">
        <v>14</v>
      </c>
      <c r="C526" s="14" t="s">
        <v>924</v>
      </c>
      <c r="D526" s="100"/>
      <c r="E526" s="46">
        <f t="shared" si="0"/>
        <v>0</v>
      </c>
      <c r="F526" s="17"/>
      <c r="G526" s="46">
        <f t="shared" si="1"/>
        <v>0</v>
      </c>
      <c r="H526" s="14" t="s">
        <v>50</v>
      </c>
      <c r="I526" s="49" t="s">
        <v>51</v>
      </c>
    </row>
    <row r="527" spans="1:9" ht="12.75" x14ac:dyDescent="0.2">
      <c r="A527" s="51">
        <v>33462005</v>
      </c>
      <c r="B527" s="52" t="s">
        <v>14</v>
      </c>
      <c r="C527" s="53" t="s">
        <v>925</v>
      </c>
      <c r="D527" s="33"/>
      <c r="E527" s="56">
        <f t="shared" si="0"/>
        <v>0</v>
      </c>
      <c r="F527" s="57"/>
      <c r="G527" s="56">
        <f t="shared" si="1"/>
        <v>0</v>
      </c>
      <c r="H527" s="53" t="s">
        <v>50</v>
      </c>
      <c r="I527" s="66" t="s">
        <v>51</v>
      </c>
    </row>
    <row r="528" spans="1:9" ht="12.75" x14ac:dyDescent="0.2">
      <c r="A528" s="51">
        <v>33462005</v>
      </c>
      <c r="B528" s="52" t="s">
        <v>14</v>
      </c>
      <c r="C528" s="53" t="s">
        <v>926</v>
      </c>
      <c r="D528" s="33"/>
      <c r="E528" s="56">
        <f t="shared" si="0"/>
        <v>0</v>
      </c>
      <c r="F528" s="57"/>
      <c r="G528" s="56">
        <f t="shared" si="1"/>
        <v>0</v>
      </c>
      <c r="H528" s="53" t="s">
        <v>50</v>
      </c>
      <c r="I528" s="66" t="s">
        <v>51</v>
      </c>
    </row>
    <row r="529" spans="1:9" ht="12.75" x14ac:dyDescent="0.2">
      <c r="A529" s="51">
        <v>33462005</v>
      </c>
      <c r="B529" s="52" t="s">
        <v>14</v>
      </c>
      <c r="C529" s="53" t="s">
        <v>927</v>
      </c>
      <c r="D529" s="33"/>
      <c r="E529" s="56">
        <f t="shared" si="0"/>
        <v>0</v>
      </c>
      <c r="F529" s="57"/>
      <c r="G529" s="56">
        <f t="shared" si="1"/>
        <v>0</v>
      </c>
      <c r="H529" s="53" t="s">
        <v>50</v>
      </c>
      <c r="I529" s="66" t="s">
        <v>51</v>
      </c>
    </row>
    <row r="530" spans="1:9" ht="12.75" x14ac:dyDescent="0.2">
      <c r="A530" s="51">
        <v>33462005</v>
      </c>
      <c r="B530" s="52" t="s">
        <v>14</v>
      </c>
      <c r="C530" s="53" t="s">
        <v>928</v>
      </c>
      <c r="D530" s="33"/>
      <c r="E530" s="56">
        <f t="shared" si="0"/>
        <v>0</v>
      </c>
      <c r="F530" s="57"/>
      <c r="G530" s="56">
        <f t="shared" si="1"/>
        <v>0</v>
      </c>
      <c r="H530" s="53" t="s">
        <v>50</v>
      </c>
      <c r="I530" s="66" t="s">
        <v>51</v>
      </c>
    </row>
    <row r="531" spans="1:9" ht="12.75" x14ac:dyDescent="0.2">
      <c r="A531" s="68">
        <v>33462005</v>
      </c>
      <c r="B531" s="63" t="s">
        <v>14</v>
      </c>
      <c r="C531" s="65" t="s">
        <v>929</v>
      </c>
      <c r="D531" s="153"/>
      <c r="E531" s="69">
        <f t="shared" si="0"/>
        <v>0</v>
      </c>
      <c r="F531" s="71"/>
      <c r="G531" s="69">
        <f t="shared" si="1"/>
        <v>0</v>
      </c>
      <c r="H531" s="65" t="s">
        <v>50</v>
      </c>
      <c r="I531" s="81" t="s">
        <v>51</v>
      </c>
    </row>
    <row r="532" spans="1:9" ht="12.75" x14ac:dyDescent="0.2">
      <c r="A532" s="185">
        <v>47252005</v>
      </c>
      <c r="B532" s="186" t="s">
        <v>14</v>
      </c>
      <c r="C532" s="187" t="s">
        <v>930</v>
      </c>
      <c r="D532" s="221"/>
      <c r="E532" s="189">
        <f t="shared" si="0"/>
        <v>0</v>
      </c>
      <c r="F532" s="190"/>
      <c r="G532" s="189">
        <f t="shared" si="1"/>
        <v>0</v>
      </c>
      <c r="H532" s="187" t="s">
        <v>88</v>
      </c>
      <c r="I532" s="222" t="s">
        <v>51</v>
      </c>
    </row>
    <row r="533" spans="1:9" ht="12.75" x14ac:dyDescent="0.2">
      <c r="A533" s="51">
        <v>47252005</v>
      </c>
      <c r="B533" s="52" t="s">
        <v>14</v>
      </c>
      <c r="C533" s="53" t="s">
        <v>931</v>
      </c>
      <c r="D533" s="33"/>
      <c r="E533" s="56">
        <f t="shared" si="0"/>
        <v>0</v>
      </c>
      <c r="F533" s="57"/>
      <c r="G533" s="56">
        <f t="shared" si="1"/>
        <v>0</v>
      </c>
      <c r="H533" s="53" t="s">
        <v>88</v>
      </c>
      <c r="I533" s="66" t="s">
        <v>51</v>
      </c>
    </row>
    <row r="534" spans="1:9" ht="12.75" x14ac:dyDescent="0.2">
      <c r="A534" s="51">
        <v>47252005</v>
      </c>
      <c r="B534" s="52" t="s">
        <v>14</v>
      </c>
      <c r="C534" s="53" t="s">
        <v>932</v>
      </c>
      <c r="D534" s="33"/>
      <c r="E534" s="56">
        <f t="shared" si="0"/>
        <v>0</v>
      </c>
      <c r="F534" s="57"/>
      <c r="G534" s="56">
        <f t="shared" si="1"/>
        <v>0</v>
      </c>
      <c r="H534" s="53" t="s">
        <v>88</v>
      </c>
      <c r="I534" s="66" t="s">
        <v>51</v>
      </c>
    </row>
    <row r="535" spans="1:9" ht="12.75" x14ac:dyDescent="0.2">
      <c r="A535" s="51">
        <v>47252005</v>
      </c>
      <c r="B535" s="52" t="s">
        <v>14</v>
      </c>
      <c r="C535" s="53" t="s">
        <v>933</v>
      </c>
      <c r="D535" s="33"/>
      <c r="E535" s="56">
        <f t="shared" si="0"/>
        <v>0</v>
      </c>
      <c r="F535" s="57"/>
      <c r="G535" s="56">
        <f t="shared" si="1"/>
        <v>0</v>
      </c>
      <c r="H535" s="53" t="s">
        <v>88</v>
      </c>
      <c r="I535" s="66" t="s">
        <v>51</v>
      </c>
    </row>
    <row r="536" spans="1:9" ht="12.75" x14ac:dyDescent="0.2">
      <c r="A536" s="51">
        <v>47252005</v>
      </c>
      <c r="B536" s="52" t="s">
        <v>14</v>
      </c>
      <c r="C536" s="53" t="s">
        <v>934</v>
      </c>
      <c r="D536" s="33"/>
      <c r="E536" s="56">
        <f t="shared" si="0"/>
        <v>0</v>
      </c>
      <c r="F536" s="57"/>
      <c r="G536" s="56">
        <f t="shared" si="1"/>
        <v>0</v>
      </c>
      <c r="H536" s="53" t="s">
        <v>88</v>
      </c>
      <c r="I536" s="66" t="s">
        <v>51</v>
      </c>
    </row>
    <row r="537" spans="1:9" ht="12.75" x14ac:dyDescent="0.2">
      <c r="A537" s="68">
        <v>47252005</v>
      </c>
      <c r="B537" s="63" t="s">
        <v>14</v>
      </c>
      <c r="C537" s="65" t="s">
        <v>935</v>
      </c>
      <c r="D537" s="153"/>
      <c r="E537" s="69">
        <f t="shared" si="0"/>
        <v>0</v>
      </c>
      <c r="F537" s="71"/>
      <c r="G537" s="69">
        <f t="shared" si="1"/>
        <v>0</v>
      </c>
      <c r="H537" s="65" t="s">
        <v>88</v>
      </c>
      <c r="I537" s="81" t="s">
        <v>51</v>
      </c>
    </row>
    <row r="538" spans="1:9" ht="12.75" x14ac:dyDescent="0.2">
      <c r="A538" s="109">
        <v>20782005</v>
      </c>
      <c r="B538" s="80" t="s">
        <v>14</v>
      </c>
      <c r="C538" s="82" t="s">
        <v>936</v>
      </c>
      <c r="D538" s="134">
        <v>2221.0700000000002</v>
      </c>
      <c r="E538" s="88">
        <f t="shared" si="0"/>
        <v>201.91545454545457</v>
      </c>
      <c r="F538" s="90">
        <v>0.1</v>
      </c>
      <c r="G538" s="92">
        <f t="shared" si="1"/>
        <v>201.91545454545462</v>
      </c>
      <c r="H538" s="82" t="s">
        <v>52</v>
      </c>
      <c r="I538" s="112" t="s">
        <v>51</v>
      </c>
    </row>
    <row r="539" spans="1:9" ht="12.75" x14ac:dyDescent="0.2">
      <c r="A539" s="51">
        <v>20782005</v>
      </c>
      <c r="B539" s="31" t="s">
        <v>14</v>
      </c>
      <c r="C539" s="53" t="s">
        <v>937</v>
      </c>
      <c r="D539" s="54">
        <v>8670.56</v>
      </c>
      <c r="E539" s="56">
        <f t="shared" si="0"/>
        <v>788.23272727272717</v>
      </c>
      <c r="F539" s="57">
        <v>0.1</v>
      </c>
      <c r="G539" s="64">
        <f t="shared" si="1"/>
        <v>788.23272727272797</v>
      </c>
      <c r="H539" s="53" t="s">
        <v>52</v>
      </c>
      <c r="I539" s="66" t="s">
        <v>51</v>
      </c>
    </row>
    <row r="540" spans="1:9" ht="12.75" x14ac:dyDescent="0.2">
      <c r="A540" s="51">
        <v>20782005</v>
      </c>
      <c r="B540" s="31" t="s">
        <v>14</v>
      </c>
      <c r="C540" s="53" t="s">
        <v>938</v>
      </c>
      <c r="D540" s="33">
        <f>3324.34+3887.1</f>
        <v>7211.4400000000005</v>
      </c>
      <c r="E540" s="56">
        <f t="shared" si="0"/>
        <v>655.58545454545458</v>
      </c>
      <c r="F540" s="57">
        <v>0.1</v>
      </c>
      <c r="G540" s="64">
        <f t="shared" si="1"/>
        <v>655.58545454545492</v>
      </c>
      <c r="H540" s="53" t="s">
        <v>50</v>
      </c>
      <c r="I540" s="66" t="s">
        <v>51</v>
      </c>
    </row>
    <row r="541" spans="1:9" ht="12.75" x14ac:dyDescent="0.2">
      <c r="A541" s="68">
        <v>20782005</v>
      </c>
      <c r="B541" s="175" t="s">
        <v>14</v>
      </c>
      <c r="C541" s="65" t="s">
        <v>939</v>
      </c>
      <c r="D541" s="67">
        <v>5178.1499999999996</v>
      </c>
      <c r="E541" s="69">
        <f t="shared" si="0"/>
        <v>470.74090909090904</v>
      </c>
      <c r="F541" s="71">
        <v>0.1</v>
      </c>
      <c r="G541" s="199">
        <f t="shared" si="1"/>
        <v>470.74090909090955</v>
      </c>
      <c r="H541" s="65" t="s">
        <v>52</v>
      </c>
      <c r="I541" s="81" t="s">
        <v>51</v>
      </c>
    </row>
    <row r="542" spans="1:9" ht="12.75" x14ac:dyDescent="0.2">
      <c r="A542" s="185">
        <v>26812005</v>
      </c>
      <c r="B542" s="186" t="s">
        <v>14</v>
      </c>
      <c r="C542" s="187" t="s">
        <v>940</v>
      </c>
      <c r="D542" s="221"/>
      <c r="E542" s="189">
        <f t="shared" si="0"/>
        <v>0</v>
      </c>
      <c r="F542" s="190"/>
      <c r="G542" s="189">
        <f t="shared" si="1"/>
        <v>0</v>
      </c>
      <c r="H542" s="187" t="s">
        <v>88</v>
      </c>
      <c r="I542" s="222" t="s">
        <v>51</v>
      </c>
    </row>
    <row r="543" spans="1:9" ht="12.75" x14ac:dyDescent="0.2">
      <c r="A543" s="51">
        <v>26812005</v>
      </c>
      <c r="B543" s="31" t="s">
        <v>14</v>
      </c>
      <c r="C543" s="53" t="s">
        <v>941</v>
      </c>
      <c r="D543" s="33"/>
      <c r="E543" s="56">
        <f t="shared" si="0"/>
        <v>0</v>
      </c>
      <c r="F543" s="57"/>
      <c r="G543" s="56">
        <f t="shared" si="1"/>
        <v>0</v>
      </c>
      <c r="H543" s="53" t="s">
        <v>88</v>
      </c>
      <c r="I543" s="66" t="s">
        <v>51</v>
      </c>
    </row>
    <row r="544" spans="1:9" ht="12.75" x14ac:dyDescent="0.2">
      <c r="A544" s="51">
        <v>26812005</v>
      </c>
      <c r="B544" s="31" t="s">
        <v>14</v>
      </c>
      <c r="C544" s="53" t="s">
        <v>942</v>
      </c>
      <c r="D544" s="33"/>
      <c r="E544" s="56">
        <f t="shared" si="0"/>
        <v>0</v>
      </c>
      <c r="F544" s="57"/>
      <c r="G544" s="56">
        <f t="shared" si="1"/>
        <v>0</v>
      </c>
      <c r="H544" s="53" t="s">
        <v>88</v>
      </c>
      <c r="I544" s="66" t="s">
        <v>51</v>
      </c>
    </row>
    <row r="545" spans="1:9" ht="12.75" x14ac:dyDescent="0.2">
      <c r="A545" s="51">
        <v>26812005</v>
      </c>
      <c r="B545" s="31" t="s">
        <v>14</v>
      </c>
      <c r="C545" s="53" t="s">
        <v>943</v>
      </c>
      <c r="D545" s="33"/>
      <c r="E545" s="56">
        <f t="shared" si="0"/>
        <v>0</v>
      </c>
      <c r="F545" s="57"/>
      <c r="G545" s="56">
        <f t="shared" si="1"/>
        <v>0</v>
      </c>
      <c r="H545" s="53" t="s">
        <v>88</v>
      </c>
      <c r="I545" s="66" t="s">
        <v>51</v>
      </c>
    </row>
    <row r="546" spans="1:9" ht="12.75" x14ac:dyDescent="0.2">
      <c r="A546" s="68">
        <v>26812005</v>
      </c>
      <c r="B546" s="175" t="s">
        <v>14</v>
      </c>
      <c r="C546" s="65" t="s">
        <v>944</v>
      </c>
      <c r="D546" s="153"/>
      <c r="E546" s="69">
        <f t="shared" si="0"/>
        <v>0</v>
      </c>
      <c r="F546" s="71"/>
      <c r="G546" s="69">
        <f t="shared" si="1"/>
        <v>0</v>
      </c>
      <c r="H546" s="65" t="s">
        <v>88</v>
      </c>
      <c r="I546" s="81" t="s">
        <v>51</v>
      </c>
    </row>
    <row r="547" spans="1:9" ht="12.75" x14ac:dyDescent="0.2">
      <c r="A547" s="109">
        <v>48262005</v>
      </c>
      <c r="B547" s="80" t="s">
        <v>14</v>
      </c>
      <c r="C547" s="82" t="s">
        <v>945</v>
      </c>
      <c r="D547" s="134">
        <v>2113.17</v>
      </c>
      <c r="E547" s="88">
        <f t="shared" si="0"/>
        <v>192.10636363636365</v>
      </c>
      <c r="F547" s="90">
        <v>0.1</v>
      </c>
      <c r="G547" s="92">
        <f t="shared" si="1"/>
        <v>192.10636363636377</v>
      </c>
      <c r="H547" s="82" t="s">
        <v>73</v>
      </c>
      <c r="I547" s="112" t="s">
        <v>51</v>
      </c>
    </row>
    <row r="548" spans="1:9" ht="12.75" x14ac:dyDescent="0.2">
      <c r="A548" s="51">
        <v>48262005</v>
      </c>
      <c r="B548" s="55" t="s">
        <v>14</v>
      </c>
      <c r="C548" s="53" t="s">
        <v>946</v>
      </c>
      <c r="D548" s="54">
        <v>2768.93</v>
      </c>
      <c r="E548" s="56">
        <f t="shared" si="0"/>
        <v>251.72090909090909</v>
      </c>
      <c r="F548" s="57">
        <v>0.1</v>
      </c>
      <c r="G548" s="64">
        <f t="shared" si="1"/>
        <v>251.72090909090912</v>
      </c>
      <c r="H548" s="53" t="s">
        <v>73</v>
      </c>
      <c r="I548" s="66" t="s">
        <v>51</v>
      </c>
    </row>
    <row r="549" spans="1:9" ht="12.75" x14ac:dyDescent="0.2">
      <c r="A549" s="51">
        <v>48262005</v>
      </c>
      <c r="B549" s="55" t="s">
        <v>14</v>
      </c>
      <c r="C549" s="53" t="s">
        <v>947</v>
      </c>
      <c r="D549" s="54">
        <v>4963.3500000000004</v>
      </c>
      <c r="E549" s="56">
        <f t="shared" si="0"/>
        <v>451.2136363636364</v>
      </c>
      <c r="F549" s="57">
        <v>0.1</v>
      </c>
      <c r="G549" s="64">
        <f t="shared" si="1"/>
        <v>451.2136363636364</v>
      </c>
      <c r="H549" s="53" t="s">
        <v>41</v>
      </c>
      <c r="I549" s="66" t="s">
        <v>51</v>
      </c>
    </row>
    <row r="550" spans="1:9" ht="12.75" x14ac:dyDescent="0.2">
      <c r="A550" s="51">
        <v>48262005</v>
      </c>
      <c r="B550" s="55" t="s">
        <v>14</v>
      </c>
      <c r="C550" s="53" t="s">
        <v>948</v>
      </c>
      <c r="D550" s="54">
        <v>4269.68</v>
      </c>
      <c r="E550" s="56">
        <f t="shared" si="0"/>
        <v>388.1527272727273</v>
      </c>
      <c r="F550" s="57">
        <v>0.1</v>
      </c>
      <c r="G550" s="64">
        <f t="shared" si="1"/>
        <v>388.15272727272759</v>
      </c>
      <c r="H550" s="53" t="s">
        <v>41</v>
      </c>
      <c r="I550" s="66" t="s">
        <v>51</v>
      </c>
    </row>
    <row r="551" spans="1:9" ht="12.75" x14ac:dyDescent="0.2">
      <c r="A551" s="51">
        <v>48262005</v>
      </c>
      <c r="B551" s="55" t="s">
        <v>14</v>
      </c>
      <c r="C551" s="53" t="s">
        <v>949</v>
      </c>
      <c r="D551" s="54">
        <v>3065.57</v>
      </c>
      <c r="E551" s="56">
        <f t="shared" si="0"/>
        <v>278.68818181818182</v>
      </c>
      <c r="F551" s="57">
        <v>0.1</v>
      </c>
      <c r="G551" s="64">
        <f t="shared" si="1"/>
        <v>278.68818181818187</v>
      </c>
      <c r="H551" s="53" t="s">
        <v>73</v>
      </c>
      <c r="I551" s="66" t="s">
        <v>51</v>
      </c>
    </row>
    <row r="552" spans="1:9" ht="12.75" x14ac:dyDescent="0.2">
      <c r="A552" s="68">
        <v>48262005</v>
      </c>
      <c r="B552" s="70" t="s">
        <v>14</v>
      </c>
      <c r="C552" s="65" t="s">
        <v>950</v>
      </c>
      <c r="D552" s="67">
        <v>3539.89</v>
      </c>
      <c r="E552" s="69">
        <f t="shared" si="0"/>
        <v>321.80818181818177</v>
      </c>
      <c r="F552" s="71">
        <v>0.1</v>
      </c>
      <c r="G552" s="199">
        <f t="shared" si="1"/>
        <v>321.80818181818222</v>
      </c>
      <c r="H552" s="65" t="s">
        <v>41</v>
      </c>
      <c r="I552" s="81" t="s">
        <v>51</v>
      </c>
    </row>
    <row r="553" spans="1:9" ht="12.75" x14ac:dyDescent="0.2">
      <c r="A553" s="116">
        <v>3652006</v>
      </c>
      <c r="B553" s="20" t="s">
        <v>14</v>
      </c>
      <c r="C553" s="223" t="s">
        <v>951</v>
      </c>
      <c r="D553" s="101">
        <v>4357.62</v>
      </c>
      <c r="E553" s="103">
        <f t="shared" si="0"/>
        <v>396.14727272727271</v>
      </c>
      <c r="F553" s="24">
        <v>0.1</v>
      </c>
      <c r="G553" s="105">
        <f t="shared" si="1"/>
        <v>396.14727272727305</v>
      </c>
      <c r="H553" s="21" t="s">
        <v>52</v>
      </c>
      <c r="I553" s="120" t="s">
        <v>51</v>
      </c>
    </row>
    <row r="554" spans="1:9" ht="12.75" x14ac:dyDescent="0.2">
      <c r="A554" s="145">
        <v>245792008</v>
      </c>
      <c r="B554" s="6" t="s">
        <v>13</v>
      </c>
      <c r="C554" s="146" t="s">
        <v>29</v>
      </c>
      <c r="D554" s="147">
        <v>1777.61</v>
      </c>
      <c r="E554" s="113">
        <f t="shared" si="0"/>
        <v>161.60090909090908</v>
      </c>
      <c r="F554" s="10">
        <v>0.1</v>
      </c>
      <c r="G554" s="113">
        <f t="shared" si="1"/>
        <v>161.60090909090923</v>
      </c>
      <c r="H554" s="7" t="s">
        <v>202</v>
      </c>
      <c r="I554" s="148" t="s">
        <v>51</v>
      </c>
    </row>
    <row r="555" spans="1:9" ht="12.75" x14ac:dyDescent="0.2">
      <c r="A555" s="44">
        <v>133522005</v>
      </c>
      <c r="B555" s="13" t="s">
        <v>14</v>
      </c>
      <c r="C555" s="14" t="s">
        <v>952</v>
      </c>
      <c r="D555" s="100"/>
      <c r="E555" s="46">
        <f t="shared" si="0"/>
        <v>0</v>
      </c>
      <c r="F555" s="17"/>
      <c r="G555" s="46">
        <f t="shared" si="1"/>
        <v>0</v>
      </c>
      <c r="H555" s="14" t="s">
        <v>88</v>
      </c>
      <c r="I555" s="49" t="s">
        <v>51</v>
      </c>
    </row>
    <row r="556" spans="1:9" ht="12.75" x14ac:dyDescent="0.2">
      <c r="A556" s="109">
        <v>133522005</v>
      </c>
      <c r="B556" s="80" t="s">
        <v>14</v>
      </c>
      <c r="C556" s="82" t="s">
        <v>953</v>
      </c>
      <c r="D556" s="28"/>
      <c r="E556" s="88">
        <f t="shared" si="0"/>
        <v>0</v>
      </c>
      <c r="F556" s="90"/>
      <c r="G556" s="88">
        <f t="shared" si="1"/>
        <v>0</v>
      </c>
      <c r="H556" s="82" t="s">
        <v>88</v>
      </c>
      <c r="I556" s="112" t="s">
        <v>51</v>
      </c>
    </row>
    <row r="557" spans="1:9" ht="12.75" x14ac:dyDescent="0.2">
      <c r="A557" s="109">
        <v>133522005</v>
      </c>
      <c r="B557" s="80" t="s">
        <v>14</v>
      </c>
      <c r="C557" s="82" t="s">
        <v>954</v>
      </c>
      <c r="D557" s="28"/>
      <c r="E557" s="88">
        <f t="shared" si="0"/>
        <v>0</v>
      </c>
      <c r="F557" s="90"/>
      <c r="G557" s="88">
        <f t="shared" si="1"/>
        <v>0</v>
      </c>
      <c r="H557" s="82" t="s">
        <v>88</v>
      </c>
      <c r="I557" s="112" t="s">
        <v>51</v>
      </c>
    </row>
    <row r="558" spans="1:9" ht="12.75" x14ac:dyDescent="0.2">
      <c r="A558" s="109">
        <v>133522005</v>
      </c>
      <c r="B558" s="80" t="s">
        <v>14</v>
      </c>
      <c r="C558" s="82" t="s">
        <v>955</v>
      </c>
      <c r="D558" s="28"/>
      <c r="E558" s="88">
        <f t="shared" si="0"/>
        <v>0</v>
      </c>
      <c r="F558" s="90"/>
      <c r="G558" s="88">
        <f t="shared" si="1"/>
        <v>0</v>
      </c>
      <c r="H558" s="82" t="s">
        <v>88</v>
      </c>
      <c r="I558" s="112" t="s">
        <v>51</v>
      </c>
    </row>
    <row r="559" spans="1:9" ht="12.75" x14ac:dyDescent="0.2">
      <c r="A559" s="109">
        <v>133522005</v>
      </c>
      <c r="B559" s="80" t="s">
        <v>14</v>
      </c>
      <c r="C559" s="82" t="s">
        <v>956</v>
      </c>
      <c r="D559" s="28"/>
      <c r="E559" s="88">
        <f t="shared" si="0"/>
        <v>0</v>
      </c>
      <c r="F559" s="90"/>
      <c r="G559" s="88">
        <f t="shared" si="1"/>
        <v>0</v>
      </c>
      <c r="H559" s="82" t="s">
        <v>88</v>
      </c>
      <c r="I559" s="112" t="s">
        <v>51</v>
      </c>
    </row>
    <row r="560" spans="1:9" ht="12.75" x14ac:dyDescent="0.2">
      <c r="A560" s="109">
        <v>133522005</v>
      </c>
      <c r="B560" s="80" t="s">
        <v>14</v>
      </c>
      <c r="C560" s="82" t="s">
        <v>957</v>
      </c>
      <c r="D560" s="28"/>
      <c r="E560" s="88">
        <f t="shared" si="0"/>
        <v>0</v>
      </c>
      <c r="F560" s="90"/>
      <c r="G560" s="88">
        <f t="shared" si="1"/>
        <v>0</v>
      </c>
      <c r="H560" s="82" t="s">
        <v>88</v>
      </c>
      <c r="I560" s="112" t="s">
        <v>51</v>
      </c>
    </row>
    <row r="561" spans="1:9" ht="12.75" x14ac:dyDescent="0.2">
      <c r="A561" s="109">
        <v>133522005</v>
      </c>
      <c r="B561" s="80" t="s">
        <v>14</v>
      </c>
      <c r="C561" s="82" t="s">
        <v>958</v>
      </c>
      <c r="D561" s="28"/>
      <c r="E561" s="88">
        <f t="shared" si="0"/>
        <v>0</v>
      </c>
      <c r="F561" s="90"/>
      <c r="G561" s="88">
        <f t="shared" si="1"/>
        <v>0</v>
      </c>
      <c r="H561" s="82" t="s">
        <v>88</v>
      </c>
      <c r="I561" s="112" t="s">
        <v>51</v>
      </c>
    </row>
    <row r="562" spans="1:9" ht="12.75" x14ac:dyDescent="0.2">
      <c r="A562" s="116">
        <v>133522005</v>
      </c>
      <c r="B562" s="20" t="s">
        <v>14</v>
      </c>
      <c r="C562" s="21" t="s">
        <v>959</v>
      </c>
      <c r="D562" s="101"/>
      <c r="E562" s="103">
        <f t="shared" si="0"/>
        <v>0</v>
      </c>
      <c r="F562" s="24"/>
      <c r="G562" s="103">
        <f t="shared" si="1"/>
        <v>0</v>
      </c>
      <c r="H562" s="21" t="s">
        <v>88</v>
      </c>
      <c r="I562" s="120" t="s">
        <v>51</v>
      </c>
    </row>
    <row r="563" spans="1:9" ht="12.75" x14ac:dyDescent="0.2">
      <c r="A563" s="224">
        <v>78402005</v>
      </c>
      <c r="B563" s="225" t="s">
        <v>14</v>
      </c>
      <c r="C563" s="226" t="s">
        <v>960</v>
      </c>
      <c r="D563" s="227"/>
      <c r="E563" s="228">
        <f t="shared" si="0"/>
        <v>0</v>
      </c>
      <c r="F563" s="229"/>
      <c r="G563" s="228">
        <f t="shared" si="1"/>
        <v>0</v>
      </c>
      <c r="H563" s="226" t="s">
        <v>961</v>
      </c>
      <c r="I563" s="230" t="s">
        <v>51</v>
      </c>
    </row>
    <row r="564" spans="1:9" ht="12.75" x14ac:dyDescent="0.2">
      <c r="A564" s="231">
        <v>78402005</v>
      </c>
      <c r="B564" s="232" t="s">
        <v>14</v>
      </c>
      <c r="C564" s="233" t="s">
        <v>962</v>
      </c>
      <c r="D564" s="234"/>
      <c r="E564" s="235">
        <f t="shared" si="0"/>
        <v>0</v>
      </c>
      <c r="F564" s="236"/>
      <c r="G564" s="235">
        <f t="shared" si="1"/>
        <v>0</v>
      </c>
      <c r="H564" s="233" t="s">
        <v>961</v>
      </c>
      <c r="I564" s="237" t="s">
        <v>51</v>
      </c>
    </row>
    <row r="565" spans="1:9" ht="12.75" x14ac:dyDescent="0.2">
      <c r="A565" s="231">
        <v>78402005</v>
      </c>
      <c r="B565" s="232" t="s">
        <v>14</v>
      </c>
      <c r="C565" s="233" t="s">
        <v>963</v>
      </c>
      <c r="D565" s="234"/>
      <c r="E565" s="235">
        <f t="shared" si="0"/>
        <v>0</v>
      </c>
      <c r="F565" s="236"/>
      <c r="G565" s="235">
        <f t="shared" si="1"/>
        <v>0</v>
      </c>
      <c r="H565" s="233" t="s">
        <v>961</v>
      </c>
      <c r="I565" s="237" t="s">
        <v>51</v>
      </c>
    </row>
    <row r="566" spans="1:9" ht="12.75" x14ac:dyDescent="0.2">
      <c r="A566" s="231">
        <v>78402005</v>
      </c>
      <c r="B566" s="232" t="s">
        <v>14</v>
      </c>
      <c r="C566" s="233" t="s">
        <v>964</v>
      </c>
      <c r="D566" s="234"/>
      <c r="E566" s="235">
        <f t="shared" si="0"/>
        <v>0</v>
      </c>
      <c r="F566" s="236"/>
      <c r="G566" s="235">
        <f t="shared" si="1"/>
        <v>0</v>
      </c>
      <c r="H566" s="233" t="s">
        <v>961</v>
      </c>
      <c r="I566" s="237" t="s">
        <v>51</v>
      </c>
    </row>
    <row r="567" spans="1:9" ht="12.75" x14ac:dyDescent="0.2">
      <c r="A567" s="238">
        <v>78402005</v>
      </c>
      <c r="B567" s="239" t="s">
        <v>14</v>
      </c>
      <c r="C567" s="240" t="s">
        <v>965</v>
      </c>
      <c r="D567" s="241"/>
      <c r="E567" s="242">
        <f t="shared" si="0"/>
        <v>0</v>
      </c>
      <c r="F567" s="243"/>
      <c r="G567" s="242">
        <f t="shared" si="1"/>
        <v>0</v>
      </c>
      <c r="H567" s="240" t="s">
        <v>961</v>
      </c>
      <c r="I567" s="244" t="s">
        <v>51</v>
      </c>
    </row>
    <row r="568" spans="1:9" ht="12.75" x14ac:dyDescent="0.2">
      <c r="A568" s="44">
        <v>120552005</v>
      </c>
      <c r="B568" s="13" t="s">
        <v>14</v>
      </c>
      <c r="C568" s="14" t="s">
        <v>966</v>
      </c>
      <c r="D568" s="100"/>
      <c r="E568" s="46">
        <f t="shared" si="0"/>
        <v>0</v>
      </c>
      <c r="F568" s="17"/>
      <c r="G568" s="46">
        <f t="shared" si="1"/>
        <v>0</v>
      </c>
      <c r="H568" s="14" t="s">
        <v>88</v>
      </c>
      <c r="I568" s="49" t="s">
        <v>51</v>
      </c>
    </row>
    <row r="569" spans="1:9" ht="12.75" x14ac:dyDescent="0.2">
      <c r="A569" s="109">
        <v>120552005</v>
      </c>
      <c r="B569" s="80" t="s">
        <v>14</v>
      </c>
      <c r="C569" s="82" t="s">
        <v>967</v>
      </c>
      <c r="D569" s="28"/>
      <c r="E569" s="88">
        <f t="shared" si="0"/>
        <v>0</v>
      </c>
      <c r="F569" s="90"/>
      <c r="G569" s="88">
        <f t="shared" si="1"/>
        <v>0</v>
      </c>
      <c r="H569" s="82" t="s">
        <v>88</v>
      </c>
      <c r="I569" s="112" t="s">
        <v>51</v>
      </c>
    </row>
    <row r="570" spans="1:9" ht="12.75" x14ac:dyDescent="0.2">
      <c r="A570" s="109">
        <v>120552005</v>
      </c>
      <c r="B570" s="80" t="s">
        <v>14</v>
      </c>
      <c r="C570" s="82" t="s">
        <v>968</v>
      </c>
      <c r="D570" s="28"/>
      <c r="E570" s="88">
        <f t="shared" si="0"/>
        <v>0</v>
      </c>
      <c r="F570" s="90"/>
      <c r="G570" s="88">
        <f t="shared" si="1"/>
        <v>0</v>
      </c>
      <c r="H570" s="82" t="s">
        <v>88</v>
      </c>
      <c r="I570" s="112" t="s">
        <v>51</v>
      </c>
    </row>
    <row r="571" spans="1:9" ht="12.75" x14ac:dyDescent="0.2">
      <c r="A571" s="109">
        <v>120552005</v>
      </c>
      <c r="B571" s="80" t="s">
        <v>14</v>
      </c>
      <c r="C571" s="82" t="s">
        <v>969</v>
      </c>
      <c r="D571" s="28"/>
      <c r="E571" s="88">
        <f t="shared" si="0"/>
        <v>0</v>
      </c>
      <c r="F571" s="90"/>
      <c r="G571" s="88">
        <f t="shared" si="1"/>
        <v>0</v>
      </c>
      <c r="H571" s="82" t="s">
        <v>88</v>
      </c>
      <c r="I571" s="112" t="s">
        <v>51</v>
      </c>
    </row>
    <row r="572" spans="1:9" ht="12.75" x14ac:dyDescent="0.2">
      <c r="A572" s="109">
        <v>120552005</v>
      </c>
      <c r="B572" s="80" t="s">
        <v>14</v>
      </c>
      <c r="C572" s="82" t="s">
        <v>970</v>
      </c>
      <c r="D572" s="28"/>
      <c r="E572" s="88">
        <f t="shared" si="0"/>
        <v>0</v>
      </c>
      <c r="F572" s="90"/>
      <c r="G572" s="88">
        <f t="shared" si="1"/>
        <v>0</v>
      </c>
      <c r="H572" s="82" t="s">
        <v>88</v>
      </c>
      <c r="I572" s="112" t="s">
        <v>51</v>
      </c>
    </row>
    <row r="573" spans="1:9" ht="12.75" x14ac:dyDescent="0.2">
      <c r="A573" s="109">
        <v>120552005</v>
      </c>
      <c r="B573" s="80" t="s">
        <v>14</v>
      </c>
      <c r="C573" s="82" t="s">
        <v>971</v>
      </c>
      <c r="D573" s="28"/>
      <c r="E573" s="88">
        <f t="shared" si="0"/>
        <v>0</v>
      </c>
      <c r="F573" s="90"/>
      <c r="G573" s="88">
        <f t="shared" si="1"/>
        <v>0</v>
      </c>
      <c r="H573" s="82" t="s">
        <v>88</v>
      </c>
      <c r="I573" s="112" t="s">
        <v>51</v>
      </c>
    </row>
    <row r="574" spans="1:9" ht="12.75" x14ac:dyDescent="0.2">
      <c r="A574" s="109">
        <v>120552005</v>
      </c>
      <c r="B574" s="80" t="s">
        <v>14</v>
      </c>
      <c r="C574" s="82" t="s">
        <v>972</v>
      </c>
      <c r="D574" s="28"/>
      <c r="E574" s="88">
        <f t="shared" si="0"/>
        <v>0</v>
      </c>
      <c r="F574" s="90"/>
      <c r="G574" s="88">
        <f t="shared" si="1"/>
        <v>0</v>
      </c>
      <c r="H574" s="82" t="s">
        <v>88</v>
      </c>
      <c r="I574" s="112" t="s">
        <v>51</v>
      </c>
    </row>
    <row r="575" spans="1:9" ht="12.75" x14ac:dyDescent="0.2">
      <c r="A575" s="116">
        <v>120552005</v>
      </c>
      <c r="B575" s="20" t="s">
        <v>14</v>
      </c>
      <c r="C575" s="21" t="s">
        <v>973</v>
      </c>
      <c r="D575" s="101"/>
      <c r="E575" s="103">
        <f t="shared" si="0"/>
        <v>0</v>
      </c>
      <c r="F575" s="24"/>
      <c r="G575" s="103">
        <f t="shared" si="1"/>
        <v>0</v>
      </c>
      <c r="H575" s="21" t="s">
        <v>88</v>
      </c>
      <c r="I575" s="120" t="s">
        <v>51</v>
      </c>
    </row>
    <row r="576" spans="1:9" ht="12.75" x14ac:dyDescent="0.2">
      <c r="A576" s="44">
        <v>157352007</v>
      </c>
      <c r="B576" s="13" t="s">
        <v>14</v>
      </c>
      <c r="C576" s="14" t="s">
        <v>974</v>
      </c>
      <c r="D576" s="100"/>
      <c r="E576" s="46">
        <f t="shared" si="0"/>
        <v>0</v>
      </c>
      <c r="F576" s="17"/>
      <c r="G576" s="46">
        <f t="shared" si="1"/>
        <v>0</v>
      </c>
      <c r="H576" s="14" t="s">
        <v>88</v>
      </c>
      <c r="I576" s="49" t="s">
        <v>51</v>
      </c>
    </row>
    <row r="577" spans="1:9" ht="12.75" x14ac:dyDescent="0.2">
      <c r="A577" s="109">
        <v>157352007</v>
      </c>
      <c r="B577" s="80" t="s">
        <v>14</v>
      </c>
      <c r="C577" s="82" t="s">
        <v>975</v>
      </c>
      <c r="D577" s="28"/>
      <c r="E577" s="88">
        <f t="shared" si="0"/>
        <v>0</v>
      </c>
      <c r="F577" s="90"/>
      <c r="G577" s="88">
        <f t="shared" si="1"/>
        <v>0</v>
      </c>
      <c r="H577" s="82" t="s">
        <v>88</v>
      </c>
      <c r="I577" s="112" t="s">
        <v>51</v>
      </c>
    </row>
    <row r="578" spans="1:9" ht="12.75" x14ac:dyDescent="0.2">
      <c r="A578" s="109">
        <v>157352007</v>
      </c>
      <c r="B578" s="80" t="s">
        <v>14</v>
      </c>
      <c r="C578" s="82" t="s">
        <v>976</v>
      </c>
      <c r="D578" s="28"/>
      <c r="E578" s="88">
        <f t="shared" si="0"/>
        <v>0</v>
      </c>
      <c r="F578" s="90"/>
      <c r="G578" s="88">
        <f t="shared" si="1"/>
        <v>0</v>
      </c>
      <c r="H578" s="82" t="s">
        <v>88</v>
      </c>
      <c r="I578" s="112" t="s">
        <v>51</v>
      </c>
    </row>
    <row r="579" spans="1:9" ht="12.75" x14ac:dyDescent="0.2">
      <c r="A579" s="109">
        <v>157352007</v>
      </c>
      <c r="B579" s="80" t="s">
        <v>14</v>
      </c>
      <c r="C579" s="82" t="s">
        <v>977</v>
      </c>
      <c r="D579" s="28"/>
      <c r="E579" s="88">
        <f t="shared" si="0"/>
        <v>0</v>
      </c>
      <c r="F579" s="90"/>
      <c r="G579" s="88">
        <f t="shared" si="1"/>
        <v>0</v>
      </c>
      <c r="H579" s="82" t="s">
        <v>88</v>
      </c>
      <c r="I579" s="112" t="s">
        <v>51</v>
      </c>
    </row>
    <row r="580" spans="1:9" ht="12.75" x14ac:dyDescent="0.2">
      <c r="A580" s="109">
        <v>157352007</v>
      </c>
      <c r="B580" s="80" t="s">
        <v>14</v>
      </c>
      <c r="C580" s="82" t="s">
        <v>280</v>
      </c>
      <c r="D580" s="28"/>
      <c r="E580" s="88">
        <f t="shared" si="0"/>
        <v>0</v>
      </c>
      <c r="F580" s="90"/>
      <c r="G580" s="88">
        <f t="shared" si="1"/>
        <v>0</v>
      </c>
      <c r="H580" s="82" t="s">
        <v>88</v>
      </c>
      <c r="I580" s="112" t="s">
        <v>51</v>
      </c>
    </row>
    <row r="581" spans="1:9" ht="12.75" x14ac:dyDescent="0.2">
      <c r="A581" s="109">
        <v>157352007</v>
      </c>
      <c r="B581" s="80" t="s">
        <v>14</v>
      </c>
      <c r="C581" s="82" t="s">
        <v>978</v>
      </c>
      <c r="D581" s="28"/>
      <c r="E581" s="88">
        <f t="shared" si="0"/>
        <v>0</v>
      </c>
      <c r="F581" s="90"/>
      <c r="G581" s="88">
        <f t="shared" si="1"/>
        <v>0</v>
      </c>
      <c r="H581" s="82" t="s">
        <v>88</v>
      </c>
      <c r="I581" s="112" t="s">
        <v>51</v>
      </c>
    </row>
    <row r="582" spans="1:9" ht="12.75" x14ac:dyDescent="0.2">
      <c r="A582" s="116">
        <v>157352007</v>
      </c>
      <c r="B582" s="20" t="s">
        <v>14</v>
      </c>
      <c r="C582" s="21" t="s">
        <v>979</v>
      </c>
      <c r="D582" s="101"/>
      <c r="E582" s="103">
        <f t="shared" si="0"/>
        <v>0</v>
      </c>
      <c r="F582" s="24"/>
      <c r="G582" s="103">
        <f t="shared" si="1"/>
        <v>0</v>
      </c>
      <c r="H582" s="21" t="s">
        <v>88</v>
      </c>
      <c r="I582" s="120" t="s">
        <v>51</v>
      </c>
    </row>
    <row r="583" spans="1:9" ht="12.75" x14ac:dyDescent="0.2">
      <c r="A583" s="44">
        <v>305202006</v>
      </c>
      <c r="B583" s="13" t="s">
        <v>14</v>
      </c>
      <c r="C583" s="14" t="s">
        <v>980</v>
      </c>
      <c r="D583" s="100"/>
      <c r="E583" s="46">
        <f t="shared" si="0"/>
        <v>0</v>
      </c>
      <c r="F583" s="17"/>
      <c r="G583" s="46">
        <f t="shared" si="1"/>
        <v>0</v>
      </c>
      <c r="H583" s="14" t="s">
        <v>88</v>
      </c>
      <c r="I583" s="49" t="s">
        <v>51</v>
      </c>
    </row>
    <row r="584" spans="1:9" ht="12.75" x14ac:dyDescent="0.2">
      <c r="A584" s="109">
        <v>305202006</v>
      </c>
      <c r="B584" s="80" t="s">
        <v>14</v>
      </c>
      <c r="C584" s="82" t="s">
        <v>981</v>
      </c>
      <c r="D584" s="28"/>
      <c r="E584" s="88">
        <f t="shared" si="0"/>
        <v>0</v>
      </c>
      <c r="F584" s="90"/>
      <c r="G584" s="88">
        <f t="shared" si="1"/>
        <v>0</v>
      </c>
      <c r="H584" s="82" t="s">
        <v>88</v>
      </c>
      <c r="I584" s="112" t="s">
        <v>51</v>
      </c>
    </row>
    <row r="585" spans="1:9" ht="12.75" x14ac:dyDescent="0.2">
      <c r="A585" s="109">
        <v>305202006</v>
      </c>
      <c r="B585" s="80" t="s">
        <v>14</v>
      </c>
      <c r="C585" s="82" t="s">
        <v>982</v>
      </c>
      <c r="D585" s="28"/>
      <c r="E585" s="88">
        <f t="shared" si="0"/>
        <v>0</v>
      </c>
      <c r="F585" s="90"/>
      <c r="G585" s="88">
        <f t="shared" si="1"/>
        <v>0</v>
      </c>
      <c r="H585" s="82" t="s">
        <v>88</v>
      </c>
      <c r="I585" s="112" t="s">
        <v>51</v>
      </c>
    </row>
    <row r="586" spans="1:9" ht="12.75" x14ac:dyDescent="0.2">
      <c r="A586" s="109">
        <v>305202006</v>
      </c>
      <c r="B586" s="80" t="s">
        <v>14</v>
      </c>
      <c r="C586" s="82" t="s">
        <v>983</v>
      </c>
      <c r="D586" s="28"/>
      <c r="E586" s="88">
        <f t="shared" si="0"/>
        <v>0</v>
      </c>
      <c r="F586" s="90"/>
      <c r="G586" s="88">
        <f t="shared" si="1"/>
        <v>0</v>
      </c>
      <c r="H586" s="82" t="s">
        <v>88</v>
      </c>
      <c r="I586" s="112" t="s">
        <v>51</v>
      </c>
    </row>
    <row r="587" spans="1:9" ht="12.75" x14ac:dyDescent="0.2">
      <c r="A587" s="109">
        <v>305202006</v>
      </c>
      <c r="B587" s="80" t="s">
        <v>14</v>
      </c>
      <c r="C587" s="82" t="s">
        <v>984</v>
      </c>
      <c r="D587" s="28"/>
      <c r="E587" s="88">
        <f t="shared" si="0"/>
        <v>0</v>
      </c>
      <c r="F587" s="90"/>
      <c r="G587" s="88">
        <f t="shared" si="1"/>
        <v>0</v>
      </c>
      <c r="H587" s="82" t="s">
        <v>88</v>
      </c>
      <c r="I587" s="112" t="s">
        <v>51</v>
      </c>
    </row>
    <row r="588" spans="1:9" ht="12.75" x14ac:dyDescent="0.2">
      <c r="A588" s="109">
        <v>305202006</v>
      </c>
      <c r="B588" s="80" t="s">
        <v>14</v>
      </c>
      <c r="C588" s="82" t="s">
        <v>985</v>
      </c>
      <c r="D588" s="28"/>
      <c r="E588" s="88">
        <f t="shared" si="0"/>
        <v>0</v>
      </c>
      <c r="F588" s="90"/>
      <c r="G588" s="88">
        <f t="shared" si="1"/>
        <v>0</v>
      </c>
      <c r="H588" s="82" t="s">
        <v>88</v>
      </c>
      <c r="I588" s="112" t="s">
        <v>51</v>
      </c>
    </row>
    <row r="589" spans="1:9" ht="12.75" x14ac:dyDescent="0.2">
      <c r="A589" s="109">
        <v>305202006</v>
      </c>
      <c r="B589" s="80" t="s">
        <v>14</v>
      </c>
      <c r="C589" s="82" t="s">
        <v>986</v>
      </c>
      <c r="D589" s="28"/>
      <c r="E589" s="88">
        <f t="shared" si="0"/>
        <v>0</v>
      </c>
      <c r="F589" s="90"/>
      <c r="G589" s="88">
        <f t="shared" si="1"/>
        <v>0</v>
      </c>
      <c r="H589" s="82" t="s">
        <v>88</v>
      </c>
      <c r="I589" s="112" t="s">
        <v>51</v>
      </c>
    </row>
    <row r="590" spans="1:9" ht="12.75" x14ac:dyDescent="0.2">
      <c r="A590" s="109">
        <v>305202006</v>
      </c>
      <c r="B590" s="80" t="s">
        <v>14</v>
      </c>
      <c r="C590" s="82" t="s">
        <v>987</v>
      </c>
      <c r="D590" s="28"/>
      <c r="E590" s="88">
        <f t="shared" si="0"/>
        <v>0</v>
      </c>
      <c r="F590" s="90"/>
      <c r="G590" s="88">
        <f t="shared" si="1"/>
        <v>0</v>
      </c>
      <c r="H590" s="82" t="s">
        <v>88</v>
      </c>
      <c r="I590" s="112" t="s">
        <v>51</v>
      </c>
    </row>
    <row r="591" spans="1:9" ht="12.75" x14ac:dyDescent="0.2">
      <c r="A591" s="109">
        <v>305202006</v>
      </c>
      <c r="B591" s="80" t="s">
        <v>14</v>
      </c>
      <c r="C591" s="82" t="s">
        <v>988</v>
      </c>
      <c r="D591" s="28"/>
      <c r="E591" s="88">
        <f t="shared" si="0"/>
        <v>0</v>
      </c>
      <c r="F591" s="90"/>
      <c r="G591" s="88">
        <f t="shared" si="1"/>
        <v>0</v>
      </c>
      <c r="H591" s="82" t="s">
        <v>88</v>
      </c>
      <c r="I591" s="112" t="s">
        <v>51</v>
      </c>
    </row>
    <row r="592" spans="1:9" ht="12.75" x14ac:dyDescent="0.2">
      <c r="A592" s="109">
        <v>305202006</v>
      </c>
      <c r="B592" s="80" t="s">
        <v>14</v>
      </c>
      <c r="C592" s="82" t="s">
        <v>989</v>
      </c>
      <c r="D592" s="28"/>
      <c r="E592" s="88">
        <f t="shared" si="0"/>
        <v>0</v>
      </c>
      <c r="F592" s="90"/>
      <c r="G592" s="88">
        <f t="shared" si="1"/>
        <v>0</v>
      </c>
      <c r="H592" s="82" t="s">
        <v>88</v>
      </c>
      <c r="I592" s="112" t="s">
        <v>51</v>
      </c>
    </row>
    <row r="593" spans="1:9" ht="12.75" x14ac:dyDescent="0.2">
      <c r="A593" s="109">
        <v>305202006</v>
      </c>
      <c r="B593" s="80" t="s">
        <v>14</v>
      </c>
      <c r="C593" s="82" t="s">
        <v>990</v>
      </c>
      <c r="D593" s="28"/>
      <c r="E593" s="88">
        <f t="shared" si="0"/>
        <v>0</v>
      </c>
      <c r="F593" s="90"/>
      <c r="G593" s="88">
        <f t="shared" si="1"/>
        <v>0</v>
      </c>
      <c r="H593" s="82" t="s">
        <v>88</v>
      </c>
      <c r="I593" s="112" t="s">
        <v>51</v>
      </c>
    </row>
    <row r="594" spans="1:9" ht="12.75" x14ac:dyDescent="0.2">
      <c r="A594" s="109">
        <v>305202006</v>
      </c>
      <c r="B594" s="80" t="s">
        <v>14</v>
      </c>
      <c r="C594" s="82" t="s">
        <v>991</v>
      </c>
      <c r="D594" s="28"/>
      <c r="E594" s="88">
        <f t="shared" si="0"/>
        <v>0</v>
      </c>
      <c r="F594" s="90"/>
      <c r="G594" s="88">
        <f t="shared" si="1"/>
        <v>0</v>
      </c>
      <c r="H594" s="82" t="s">
        <v>88</v>
      </c>
      <c r="I594" s="112" t="s">
        <v>51</v>
      </c>
    </row>
    <row r="595" spans="1:9" ht="12.75" x14ac:dyDescent="0.2">
      <c r="A595" s="109">
        <v>305202006</v>
      </c>
      <c r="B595" s="80" t="s">
        <v>14</v>
      </c>
      <c r="C595" s="82" t="s">
        <v>992</v>
      </c>
      <c r="D595" s="28"/>
      <c r="E595" s="88">
        <f t="shared" si="0"/>
        <v>0</v>
      </c>
      <c r="F595" s="90"/>
      <c r="G595" s="88">
        <f t="shared" si="1"/>
        <v>0</v>
      </c>
      <c r="H595" s="82" t="s">
        <v>88</v>
      </c>
      <c r="I595" s="112" t="s">
        <v>51</v>
      </c>
    </row>
    <row r="596" spans="1:9" ht="12.75" x14ac:dyDescent="0.2">
      <c r="A596" s="109">
        <v>305202006</v>
      </c>
      <c r="B596" s="80" t="s">
        <v>14</v>
      </c>
      <c r="C596" s="82" t="s">
        <v>993</v>
      </c>
      <c r="D596" s="28"/>
      <c r="E596" s="88">
        <f t="shared" si="0"/>
        <v>0</v>
      </c>
      <c r="F596" s="90"/>
      <c r="G596" s="88">
        <f t="shared" si="1"/>
        <v>0</v>
      </c>
      <c r="H596" s="82" t="s">
        <v>88</v>
      </c>
      <c r="I596" s="112" t="s">
        <v>51</v>
      </c>
    </row>
    <row r="597" spans="1:9" ht="12.75" x14ac:dyDescent="0.2">
      <c r="A597" s="116">
        <v>305202006</v>
      </c>
      <c r="B597" s="20" t="s">
        <v>14</v>
      </c>
      <c r="C597" s="21" t="s">
        <v>994</v>
      </c>
      <c r="D597" s="101"/>
      <c r="E597" s="103">
        <f t="shared" si="0"/>
        <v>0</v>
      </c>
      <c r="F597" s="24"/>
      <c r="G597" s="103">
        <f t="shared" si="1"/>
        <v>0</v>
      </c>
      <c r="H597" s="21" t="s">
        <v>88</v>
      </c>
      <c r="I597" s="120" t="s">
        <v>51</v>
      </c>
    </row>
    <row r="598" spans="1:9" ht="12.75" x14ac:dyDescent="0.2">
      <c r="A598" s="44">
        <v>33802005</v>
      </c>
      <c r="B598" s="13" t="s">
        <v>14</v>
      </c>
      <c r="C598" s="14" t="s">
        <v>995</v>
      </c>
      <c r="D598" s="100"/>
      <c r="E598" s="46">
        <f t="shared" si="0"/>
        <v>0</v>
      </c>
      <c r="F598" s="17"/>
      <c r="G598" s="46">
        <f t="shared" si="1"/>
        <v>0</v>
      </c>
      <c r="H598" s="14" t="s">
        <v>88</v>
      </c>
      <c r="I598" s="49" t="s">
        <v>51</v>
      </c>
    </row>
    <row r="599" spans="1:9" ht="12.75" x14ac:dyDescent="0.2">
      <c r="A599" s="109">
        <v>33802005</v>
      </c>
      <c r="B599" s="80" t="s">
        <v>14</v>
      </c>
      <c r="C599" s="82" t="s">
        <v>996</v>
      </c>
      <c r="D599" s="28"/>
      <c r="E599" s="88">
        <f t="shared" si="0"/>
        <v>0</v>
      </c>
      <c r="F599" s="90"/>
      <c r="G599" s="88">
        <f t="shared" si="1"/>
        <v>0</v>
      </c>
      <c r="H599" s="82" t="s">
        <v>88</v>
      </c>
      <c r="I599" s="112" t="s">
        <v>51</v>
      </c>
    </row>
    <row r="600" spans="1:9" ht="12.75" x14ac:dyDescent="0.2">
      <c r="A600" s="109">
        <v>33802005</v>
      </c>
      <c r="B600" s="80" t="s">
        <v>14</v>
      </c>
      <c r="C600" s="82" t="s">
        <v>997</v>
      </c>
      <c r="D600" s="28"/>
      <c r="E600" s="88">
        <f t="shared" si="0"/>
        <v>0</v>
      </c>
      <c r="F600" s="90"/>
      <c r="G600" s="88">
        <f t="shared" si="1"/>
        <v>0</v>
      </c>
      <c r="H600" s="82" t="s">
        <v>88</v>
      </c>
      <c r="I600" s="112" t="s">
        <v>51</v>
      </c>
    </row>
    <row r="601" spans="1:9" ht="12.75" x14ac:dyDescent="0.2">
      <c r="A601" s="109">
        <v>33802005</v>
      </c>
      <c r="B601" s="80" t="s">
        <v>14</v>
      </c>
      <c r="C601" s="82" t="s">
        <v>998</v>
      </c>
      <c r="D601" s="28"/>
      <c r="E601" s="88">
        <f t="shared" si="0"/>
        <v>0</v>
      </c>
      <c r="F601" s="90"/>
      <c r="G601" s="88">
        <f t="shared" si="1"/>
        <v>0</v>
      </c>
      <c r="H601" s="82" t="s">
        <v>88</v>
      </c>
      <c r="I601" s="112" t="s">
        <v>51</v>
      </c>
    </row>
    <row r="602" spans="1:9" ht="12.75" x14ac:dyDescent="0.2">
      <c r="A602" s="109">
        <v>33802005</v>
      </c>
      <c r="B602" s="80" t="s">
        <v>14</v>
      </c>
      <c r="C602" s="82" t="s">
        <v>999</v>
      </c>
      <c r="D602" s="28"/>
      <c r="E602" s="88">
        <f t="shared" si="0"/>
        <v>0</v>
      </c>
      <c r="F602" s="90"/>
      <c r="G602" s="88">
        <f t="shared" si="1"/>
        <v>0</v>
      </c>
      <c r="H602" s="82" t="s">
        <v>88</v>
      </c>
      <c r="I602" s="112" t="s">
        <v>51</v>
      </c>
    </row>
    <row r="603" spans="1:9" ht="12.75" x14ac:dyDescent="0.2">
      <c r="A603" s="116">
        <v>33802005</v>
      </c>
      <c r="B603" s="20" t="s">
        <v>14</v>
      </c>
      <c r="C603" s="21" t="s">
        <v>1000</v>
      </c>
      <c r="D603" s="101"/>
      <c r="E603" s="103">
        <f t="shared" si="0"/>
        <v>0</v>
      </c>
      <c r="F603" s="24"/>
      <c r="G603" s="103">
        <f t="shared" si="1"/>
        <v>0</v>
      </c>
      <c r="H603" s="21" t="s">
        <v>88</v>
      </c>
      <c r="I603" s="120" t="s">
        <v>51</v>
      </c>
    </row>
    <row r="604" spans="1:9" ht="12.75" x14ac:dyDescent="0.2">
      <c r="A604" s="44">
        <v>160362010</v>
      </c>
      <c r="B604" s="13" t="s">
        <v>14</v>
      </c>
      <c r="C604" s="14" t="s">
        <v>1001</v>
      </c>
      <c r="D604" s="100"/>
      <c r="E604" s="46">
        <f t="shared" si="0"/>
        <v>0</v>
      </c>
      <c r="F604" s="17"/>
      <c r="G604" s="46">
        <f t="shared" si="1"/>
        <v>0</v>
      </c>
      <c r="H604" s="14" t="s">
        <v>88</v>
      </c>
      <c r="I604" s="49" t="s">
        <v>51</v>
      </c>
    </row>
    <row r="605" spans="1:9" ht="12.75" x14ac:dyDescent="0.2">
      <c r="A605" s="51">
        <v>160362010</v>
      </c>
      <c r="B605" s="52" t="s">
        <v>14</v>
      </c>
      <c r="C605" s="53" t="s">
        <v>1002</v>
      </c>
      <c r="D605" s="33"/>
      <c r="E605" s="56">
        <f t="shared" si="0"/>
        <v>0</v>
      </c>
      <c r="F605" s="57"/>
      <c r="G605" s="56">
        <f t="shared" si="1"/>
        <v>0</v>
      </c>
      <c r="H605" s="53" t="s">
        <v>88</v>
      </c>
      <c r="I605" s="66" t="s">
        <v>51</v>
      </c>
    </row>
    <row r="606" spans="1:9" ht="12.75" x14ac:dyDescent="0.2">
      <c r="A606" s="51">
        <v>160362010</v>
      </c>
      <c r="B606" s="52" t="s">
        <v>14</v>
      </c>
      <c r="C606" s="53" t="s">
        <v>1003</v>
      </c>
      <c r="D606" s="33"/>
      <c r="E606" s="56">
        <f t="shared" si="0"/>
        <v>0</v>
      </c>
      <c r="F606" s="57"/>
      <c r="G606" s="56">
        <f t="shared" si="1"/>
        <v>0</v>
      </c>
      <c r="H606" s="53" t="s">
        <v>88</v>
      </c>
      <c r="I606" s="66" t="s">
        <v>51</v>
      </c>
    </row>
    <row r="607" spans="1:9" ht="12.75" x14ac:dyDescent="0.2">
      <c r="A607" s="51">
        <v>160362010</v>
      </c>
      <c r="B607" s="52" t="s">
        <v>14</v>
      </c>
      <c r="C607" s="53" t="s">
        <v>1004</v>
      </c>
      <c r="D607" s="33"/>
      <c r="E607" s="56">
        <f t="shared" si="0"/>
        <v>0</v>
      </c>
      <c r="F607" s="57"/>
      <c r="G607" s="56">
        <f t="shared" si="1"/>
        <v>0</v>
      </c>
      <c r="H607" s="53" t="s">
        <v>88</v>
      </c>
      <c r="I607" s="66" t="s">
        <v>51</v>
      </c>
    </row>
    <row r="608" spans="1:9" ht="12.75" x14ac:dyDescent="0.2">
      <c r="A608" s="51">
        <v>160362010</v>
      </c>
      <c r="B608" s="52" t="s">
        <v>14</v>
      </c>
      <c r="C608" s="53" t="s">
        <v>1005</v>
      </c>
      <c r="D608" s="33"/>
      <c r="E608" s="56">
        <f t="shared" si="0"/>
        <v>0</v>
      </c>
      <c r="F608" s="57"/>
      <c r="G608" s="56">
        <f t="shared" si="1"/>
        <v>0</v>
      </c>
      <c r="H608" s="53" t="s">
        <v>88</v>
      </c>
      <c r="I608" s="66" t="s">
        <v>51</v>
      </c>
    </row>
    <row r="609" spans="1:9" ht="12.75" x14ac:dyDescent="0.2">
      <c r="A609" s="51">
        <v>160362010</v>
      </c>
      <c r="B609" s="52" t="s">
        <v>14</v>
      </c>
      <c r="C609" s="53" t="s">
        <v>1006</v>
      </c>
      <c r="D609" s="33"/>
      <c r="E609" s="56">
        <f t="shared" si="0"/>
        <v>0</v>
      </c>
      <c r="F609" s="57"/>
      <c r="G609" s="56">
        <f t="shared" si="1"/>
        <v>0</v>
      </c>
      <c r="H609" s="53" t="s">
        <v>88</v>
      </c>
      <c r="I609" s="66" t="s">
        <v>51</v>
      </c>
    </row>
    <row r="610" spans="1:9" ht="12.75" x14ac:dyDescent="0.2">
      <c r="A610" s="51">
        <v>160362010</v>
      </c>
      <c r="B610" s="52" t="s">
        <v>14</v>
      </c>
      <c r="C610" s="53" t="s">
        <v>1007</v>
      </c>
      <c r="D610" s="33"/>
      <c r="E610" s="56">
        <f t="shared" si="0"/>
        <v>0</v>
      </c>
      <c r="F610" s="57"/>
      <c r="G610" s="56">
        <f t="shared" si="1"/>
        <v>0</v>
      </c>
      <c r="H610" s="53" t="s">
        <v>88</v>
      </c>
      <c r="I610" s="66" t="s">
        <v>51</v>
      </c>
    </row>
    <row r="611" spans="1:9" ht="12.75" x14ac:dyDescent="0.2">
      <c r="A611" s="51">
        <v>160362010</v>
      </c>
      <c r="B611" s="52" t="s">
        <v>14</v>
      </c>
      <c r="C611" s="53" t="s">
        <v>1008</v>
      </c>
      <c r="D611" s="33"/>
      <c r="E611" s="56">
        <f t="shared" si="0"/>
        <v>0</v>
      </c>
      <c r="F611" s="57"/>
      <c r="G611" s="56">
        <f t="shared" si="1"/>
        <v>0</v>
      </c>
      <c r="H611" s="53" t="s">
        <v>88</v>
      </c>
      <c r="I611" s="66" t="s">
        <v>51</v>
      </c>
    </row>
    <row r="612" spans="1:9" ht="12.75" x14ac:dyDescent="0.2">
      <c r="A612" s="51">
        <v>160362010</v>
      </c>
      <c r="B612" s="52" t="s">
        <v>14</v>
      </c>
      <c r="C612" s="53" t="s">
        <v>1009</v>
      </c>
      <c r="D612" s="33"/>
      <c r="E612" s="56">
        <f t="shared" si="0"/>
        <v>0</v>
      </c>
      <c r="F612" s="57"/>
      <c r="G612" s="56">
        <f t="shared" si="1"/>
        <v>0</v>
      </c>
      <c r="H612" s="53" t="s">
        <v>88</v>
      </c>
      <c r="I612" s="66" t="s">
        <v>51</v>
      </c>
    </row>
    <row r="613" spans="1:9" ht="12.75" x14ac:dyDescent="0.2">
      <c r="A613" s="51">
        <v>160362010</v>
      </c>
      <c r="B613" s="52" t="s">
        <v>14</v>
      </c>
      <c r="C613" s="53" t="s">
        <v>1010</v>
      </c>
      <c r="D613" s="33"/>
      <c r="E613" s="56">
        <f t="shared" si="0"/>
        <v>0</v>
      </c>
      <c r="F613" s="57"/>
      <c r="G613" s="56">
        <f t="shared" si="1"/>
        <v>0</v>
      </c>
      <c r="H613" s="53" t="s">
        <v>88</v>
      </c>
      <c r="I613" s="66" t="s">
        <v>51</v>
      </c>
    </row>
    <row r="614" spans="1:9" ht="12.75" x14ac:dyDescent="0.2">
      <c r="A614" s="51">
        <v>160362010</v>
      </c>
      <c r="B614" s="52" t="s">
        <v>14</v>
      </c>
      <c r="C614" s="53" t="s">
        <v>1011</v>
      </c>
      <c r="D614" s="33"/>
      <c r="E614" s="56">
        <f t="shared" si="0"/>
        <v>0</v>
      </c>
      <c r="F614" s="57"/>
      <c r="G614" s="56">
        <f t="shared" si="1"/>
        <v>0</v>
      </c>
      <c r="H614" s="53" t="s">
        <v>88</v>
      </c>
      <c r="I614" s="66" t="s">
        <v>51</v>
      </c>
    </row>
    <row r="615" spans="1:9" ht="12.75" x14ac:dyDescent="0.2">
      <c r="A615" s="51">
        <v>160362010</v>
      </c>
      <c r="B615" s="52" t="s">
        <v>14</v>
      </c>
      <c r="C615" s="53" t="s">
        <v>1012</v>
      </c>
      <c r="D615" s="33"/>
      <c r="E615" s="56">
        <f t="shared" si="0"/>
        <v>0</v>
      </c>
      <c r="F615" s="57"/>
      <c r="G615" s="56">
        <f t="shared" si="1"/>
        <v>0</v>
      </c>
      <c r="H615" s="53" t="s">
        <v>88</v>
      </c>
      <c r="I615" s="66" t="s">
        <v>51</v>
      </c>
    </row>
    <row r="616" spans="1:9" ht="12.75" x14ac:dyDescent="0.2">
      <c r="A616" s="51">
        <v>160362010</v>
      </c>
      <c r="B616" s="52" t="s">
        <v>14</v>
      </c>
      <c r="C616" s="53" t="s">
        <v>1013</v>
      </c>
      <c r="D616" s="33"/>
      <c r="E616" s="56">
        <f t="shared" si="0"/>
        <v>0</v>
      </c>
      <c r="F616" s="57"/>
      <c r="G616" s="56">
        <f t="shared" si="1"/>
        <v>0</v>
      </c>
      <c r="H616" s="53" t="s">
        <v>88</v>
      </c>
      <c r="I616" s="66" t="s">
        <v>51</v>
      </c>
    </row>
    <row r="617" spans="1:9" ht="12.75" x14ac:dyDescent="0.2">
      <c r="A617" s="75">
        <v>160362010</v>
      </c>
      <c r="B617" s="170" t="s">
        <v>14</v>
      </c>
      <c r="C617" s="79" t="s">
        <v>1014</v>
      </c>
      <c r="D617" s="218"/>
      <c r="E617" s="86">
        <f t="shared" si="0"/>
        <v>0</v>
      </c>
      <c r="F617" s="93"/>
      <c r="G617" s="86">
        <f t="shared" si="1"/>
        <v>0</v>
      </c>
      <c r="H617" s="79" t="s">
        <v>88</v>
      </c>
      <c r="I617" s="98" t="s">
        <v>51</v>
      </c>
    </row>
    <row r="618" spans="1:9" ht="12.75" x14ac:dyDescent="0.2">
      <c r="A618" s="44">
        <v>264152006</v>
      </c>
      <c r="B618" s="13" t="s">
        <v>14</v>
      </c>
      <c r="C618" s="14" t="s">
        <v>1015</v>
      </c>
      <c r="D618" s="100"/>
      <c r="E618" s="46">
        <f t="shared" si="0"/>
        <v>0</v>
      </c>
      <c r="F618" s="17"/>
      <c r="G618" s="46">
        <f t="shared" si="1"/>
        <v>0</v>
      </c>
      <c r="H618" s="14" t="s">
        <v>37</v>
      </c>
      <c r="I618" s="49" t="s">
        <v>51</v>
      </c>
    </row>
    <row r="619" spans="1:9" ht="12.75" x14ac:dyDescent="0.2">
      <c r="A619" s="51">
        <v>264152006</v>
      </c>
      <c r="B619" s="52" t="s">
        <v>14</v>
      </c>
      <c r="C619" s="53" t="s">
        <v>1016</v>
      </c>
      <c r="D619" s="33"/>
      <c r="E619" s="56">
        <f t="shared" si="0"/>
        <v>0</v>
      </c>
      <c r="F619" s="57"/>
      <c r="G619" s="56">
        <f t="shared" si="1"/>
        <v>0</v>
      </c>
      <c r="H619" s="53" t="s">
        <v>37</v>
      </c>
      <c r="I619" s="66" t="s">
        <v>51</v>
      </c>
    </row>
    <row r="620" spans="1:9" ht="12.75" x14ac:dyDescent="0.2">
      <c r="A620" s="51">
        <v>264152006</v>
      </c>
      <c r="B620" s="52" t="s">
        <v>14</v>
      </c>
      <c r="C620" s="53" t="s">
        <v>1017</v>
      </c>
      <c r="D620" s="33"/>
      <c r="E620" s="56">
        <f t="shared" si="0"/>
        <v>0</v>
      </c>
      <c r="F620" s="57"/>
      <c r="G620" s="56">
        <f t="shared" si="1"/>
        <v>0</v>
      </c>
      <c r="H620" s="53" t="s">
        <v>37</v>
      </c>
      <c r="I620" s="66" t="s">
        <v>51</v>
      </c>
    </row>
    <row r="621" spans="1:9" ht="12.75" x14ac:dyDescent="0.2">
      <c r="A621" s="51">
        <v>264152006</v>
      </c>
      <c r="B621" s="52" t="s">
        <v>14</v>
      </c>
      <c r="C621" s="53" t="s">
        <v>1018</v>
      </c>
      <c r="D621" s="33"/>
      <c r="E621" s="56">
        <f t="shared" si="0"/>
        <v>0</v>
      </c>
      <c r="F621" s="57"/>
      <c r="G621" s="56">
        <f t="shared" si="1"/>
        <v>0</v>
      </c>
      <c r="H621" s="53" t="s">
        <v>37</v>
      </c>
      <c r="I621" s="66" t="s">
        <v>51</v>
      </c>
    </row>
    <row r="622" spans="1:9" ht="12.75" x14ac:dyDescent="0.2">
      <c r="A622" s="51">
        <v>264152006</v>
      </c>
      <c r="B622" s="52" t="s">
        <v>14</v>
      </c>
      <c r="C622" s="53" t="s">
        <v>1019</v>
      </c>
      <c r="D622" s="33"/>
      <c r="E622" s="56">
        <f t="shared" si="0"/>
        <v>0</v>
      </c>
      <c r="F622" s="57"/>
      <c r="G622" s="56">
        <f t="shared" si="1"/>
        <v>0</v>
      </c>
      <c r="H622" s="53" t="s">
        <v>37</v>
      </c>
      <c r="I622" s="66" t="s">
        <v>51</v>
      </c>
    </row>
    <row r="623" spans="1:9" ht="12.75" x14ac:dyDescent="0.2">
      <c r="A623" s="51">
        <v>264152006</v>
      </c>
      <c r="B623" s="52" t="s">
        <v>14</v>
      </c>
      <c r="C623" s="53" t="s">
        <v>1020</v>
      </c>
      <c r="D623" s="33"/>
      <c r="E623" s="56">
        <f t="shared" si="0"/>
        <v>0</v>
      </c>
      <c r="F623" s="57"/>
      <c r="G623" s="56">
        <f t="shared" si="1"/>
        <v>0</v>
      </c>
      <c r="H623" s="53" t="s">
        <v>37</v>
      </c>
      <c r="I623" s="66" t="s">
        <v>51</v>
      </c>
    </row>
    <row r="624" spans="1:9" ht="12.75" x14ac:dyDescent="0.2">
      <c r="A624" s="51">
        <v>264152006</v>
      </c>
      <c r="B624" s="52" t="s">
        <v>14</v>
      </c>
      <c r="C624" s="53" t="s">
        <v>1021</v>
      </c>
      <c r="D624" s="33"/>
      <c r="E624" s="56">
        <f t="shared" si="0"/>
        <v>0</v>
      </c>
      <c r="F624" s="57"/>
      <c r="G624" s="56">
        <f t="shared" si="1"/>
        <v>0</v>
      </c>
      <c r="H624" s="53" t="s">
        <v>37</v>
      </c>
      <c r="I624" s="66" t="s">
        <v>51</v>
      </c>
    </row>
    <row r="625" spans="1:9" ht="12.75" x14ac:dyDescent="0.2">
      <c r="A625" s="51">
        <v>264152006</v>
      </c>
      <c r="B625" s="52" t="s">
        <v>14</v>
      </c>
      <c r="C625" s="53" t="s">
        <v>1022</v>
      </c>
      <c r="D625" s="33"/>
      <c r="E625" s="56">
        <f t="shared" si="0"/>
        <v>0</v>
      </c>
      <c r="F625" s="57"/>
      <c r="G625" s="56">
        <f t="shared" si="1"/>
        <v>0</v>
      </c>
      <c r="H625" s="53" t="s">
        <v>37</v>
      </c>
      <c r="I625" s="66" t="s">
        <v>51</v>
      </c>
    </row>
    <row r="626" spans="1:9" ht="12.75" x14ac:dyDescent="0.2">
      <c r="A626" s="51">
        <v>264152006</v>
      </c>
      <c r="B626" s="52" t="s">
        <v>14</v>
      </c>
      <c r="C626" s="53" t="s">
        <v>1023</v>
      </c>
      <c r="D626" s="33"/>
      <c r="E626" s="56">
        <f t="shared" si="0"/>
        <v>0</v>
      </c>
      <c r="F626" s="57"/>
      <c r="G626" s="56">
        <f t="shared" si="1"/>
        <v>0</v>
      </c>
      <c r="H626" s="53" t="s">
        <v>37</v>
      </c>
      <c r="I626" s="66" t="s">
        <v>51</v>
      </c>
    </row>
    <row r="627" spans="1:9" ht="12.75" x14ac:dyDescent="0.2">
      <c r="A627" s="51">
        <v>264152006</v>
      </c>
      <c r="B627" s="52" t="s">
        <v>14</v>
      </c>
      <c r="C627" s="53" t="s">
        <v>1024</v>
      </c>
      <c r="D627" s="33"/>
      <c r="E627" s="56">
        <f t="shared" si="0"/>
        <v>0</v>
      </c>
      <c r="F627" s="57"/>
      <c r="G627" s="56">
        <f t="shared" si="1"/>
        <v>0</v>
      </c>
      <c r="H627" s="53" t="s">
        <v>37</v>
      </c>
      <c r="I627" s="66" t="s">
        <v>51</v>
      </c>
    </row>
    <row r="628" spans="1:9" ht="12.75" x14ac:dyDescent="0.2">
      <c r="A628" s="51">
        <v>264152006</v>
      </c>
      <c r="B628" s="52" t="s">
        <v>14</v>
      </c>
      <c r="C628" s="53" t="s">
        <v>1025</v>
      </c>
      <c r="D628" s="33"/>
      <c r="E628" s="56">
        <f t="shared" si="0"/>
        <v>0</v>
      </c>
      <c r="F628" s="57"/>
      <c r="G628" s="56">
        <f t="shared" si="1"/>
        <v>0</v>
      </c>
      <c r="H628" s="53" t="s">
        <v>37</v>
      </c>
      <c r="I628" s="66" t="s">
        <v>51</v>
      </c>
    </row>
    <row r="629" spans="1:9" ht="12.75" x14ac:dyDescent="0.2">
      <c r="A629" s="51">
        <v>264152006</v>
      </c>
      <c r="B629" s="52" t="s">
        <v>14</v>
      </c>
      <c r="C629" s="53" t="s">
        <v>1026</v>
      </c>
      <c r="D629" s="33"/>
      <c r="E629" s="56">
        <f t="shared" si="0"/>
        <v>0</v>
      </c>
      <c r="F629" s="57"/>
      <c r="G629" s="56">
        <f t="shared" si="1"/>
        <v>0</v>
      </c>
      <c r="H629" s="53" t="s">
        <v>37</v>
      </c>
      <c r="I629" s="66" t="s">
        <v>51</v>
      </c>
    </row>
    <row r="630" spans="1:9" ht="12.75" x14ac:dyDescent="0.2">
      <c r="A630" s="51">
        <v>264152006</v>
      </c>
      <c r="B630" s="52" t="s">
        <v>14</v>
      </c>
      <c r="C630" s="53" t="s">
        <v>1027</v>
      </c>
      <c r="D630" s="33"/>
      <c r="E630" s="56">
        <f t="shared" si="0"/>
        <v>0</v>
      </c>
      <c r="F630" s="57"/>
      <c r="G630" s="56">
        <f t="shared" si="1"/>
        <v>0</v>
      </c>
      <c r="H630" s="53" t="s">
        <v>37</v>
      </c>
      <c r="I630" s="66" t="s">
        <v>51</v>
      </c>
    </row>
    <row r="631" spans="1:9" ht="12.75" x14ac:dyDescent="0.2">
      <c r="A631" s="51">
        <v>264152006</v>
      </c>
      <c r="B631" s="52" t="s">
        <v>14</v>
      </c>
      <c r="C631" s="53" t="s">
        <v>1028</v>
      </c>
      <c r="D631" s="33"/>
      <c r="E631" s="56">
        <f t="shared" si="0"/>
        <v>0</v>
      </c>
      <c r="F631" s="57"/>
      <c r="G631" s="56">
        <f t="shared" si="1"/>
        <v>0</v>
      </c>
      <c r="H631" s="53" t="s">
        <v>37</v>
      </c>
      <c r="I631" s="66" t="s">
        <v>51</v>
      </c>
    </row>
    <row r="632" spans="1:9" ht="12.75" x14ac:dyDescent="0.2">
      <c r="A632" s="68">
        <v>264152006</v>
      </c>
      <c r="B632" s="63" t="s">
        <v>14</v>
      </c>
      <c r="C632" s="65" t="s">
        <v>1029</v>
      </c>
      <c r="D632" s="153"/>
      <c r="E632" s="69">
        <f t="shared" si="0"/>
        <v>0</v>
      </c>
      <c r="F632" s="71"/>
      <c r="G632" s="69">
        <f t="shared" si="1"/>
        <v>0</v>
      </c>
      <c r="H632" s="65" t="s">
        <v>37</v>
      </c>
      <c r="I632" s="81" t="s">
        <v>51</v>
      </c>
    </row>
    <row r="633" spans="1:9" ht="12.75" x14ac:dyDescent="0.2">
      <c r="A633" s="109">
        <v>23562008</v>
      </c>
      <c r="B633" s="80" t="s">
        <v>14</v>
      </c>
      <c r="C633" s="82" t="s">
        <v>1030</v>
      </c>
      <c r="D633" s="28"/>
      <c r="E633" s="88">
        <f t="shared" si="0"/>
        <v>0</v>
      </c>
      <c r="F633" s="90"/>
      <c r="G633" s="88">
        <f t="shared" si="1"/>
        <v>0</v>
      </c>
      <c r="H633" s="82" t="s">
        <v>42</v>
      </c>
      <c r="I633" s="112" t="s">
        <v>51</v>
      </c>
    </row>
    <row r="634" spans="1:9" ht="12.75" x14ac:dyDescent="0.2">
      <c r="A634" s="75">
        <v>23562008</v>
      </c>
      <c r="B634" s="170" t="s">
        <v>14</v>
      </c>
      <c r="C634" s="79" t="s">
        <v>1031</v>
      </c>
      <c r="D634" s="218"/>
      <c r="E634" s="86">
        <f t="shared" si="0"/>
        <v>0</v>
      </c>
      <c r="F634" s="93"/>
      <c r="G634" s="86">
        <f t="shared" si="1"/>
        <v>0</v>
      </c>
      <c r="H634" s="79" t="s">
        <v>42</v>
      </c>
      <c r="I634" s="98" t="s">
        <v>51</v>
      </c>
    </row>
    <row r="635" spans="1:9" ht="12.75" x14ac:dyDescent="0.2">
      <c r="A635" s="75">
        <v>23562008</v>
      </c>
      <c r="B635" s="170" t="s">
        <v>14</v>
      </c>
      <c r="C635" s="79" t="s">
        <v>1032</v>
      </c>
      <c r="D635" s="218"/>
      <c r="E635" s="86">
        <f t="shared" si="0"/>
        <v>0</v>
      </c>
      <c r="F635" s="93"/>
      <c r="G635" s="86">
        <f t="shared" si="1"/>
        <v>0</v>
      </c>
      <c r="H635" s="79" t="s">
        <v>42</v>
      </c>
      <c r="I635" s="98" t="s">
        <v>51</v>
      </c>
    </row>
    <row r="636" spans="1:9" ht="12.75" x14ac:dyDescent="0.2">
      <c r="A636" s="75">
        <v>23562008</v>
      </c>
      <c r="B636" s="170" t="s">
        <v>14</v>
      </c>
      <c r="C636" s="79" t="s">
        <v>1033</v>
      </c>
      <c r="D636" s="218"/>
      <c r="E636" s="86">
        <f t="shared" si="0"/>
        <v>0</v>
      </c>
      <c r="F636" s="93"/>
      <c r="G636" s="86">
        <f t="shared" si="1"/>
        <v>0</v>
      </c>
      <c r="H636" s="79" t="s">
        <v>42</v>
      </c>
      <c r="I636" s="98" t="s">
        <v>51</v>
      </c>
    </row>
    <row r="637" spans="1:9" ht="12.75" x14ac:dyDescent="0.2">
      <c r="A637" s="75">
        <v>23562008</v>
      </c>
      <c r="B637" s="170" t="s">
        <v>14</v>
      </c>
      <c r="C637" s="79" t="s">
        <v>1034</v>
      </c>
      <c r="D637" s="218"/>
      <c r="E637" s="86">
        <f t="shared" si="0"/>
        <v>0</v>
      </c>
      <c r="F637" s="93"/>
      <c r="G637" s="86">
        <f t="shared" si="1"/>
        <v>0</v>
      </c>
      <c r="H637" s="79" t="s">
        <v>42</v>
      </c>
      <c r="I637" s="98" t="s">
        <v>51</v>
      </c>
    </row>
    <row r="638" spans="1:9" ht="12.75" x14ac:dyDescent="0.2">
      <c r="A638" s="68">
        <v>23562008</v>
      </c>
      <c r="B638" s="63" t="s">
        <v>14</v>
      </c>
      <c r="C638" s="65" t="s">
        <v>1035</v>
      </c>
      <c r="D638" s="153"/>
      <c r="E638" s="69">
        <f t="shared" si="0"/>
        <v>0</v>
      </c>
      <c r="F638" s="71"/>
      <c r="G638" s="69">
        <f t="shared" si="1"/>
        <v>0</v>
      </c>
      <c r="H638" s="65" t="s">
        <v>42</v>
      </c>
      <c r="I638" s="81" t="s">
        <v>51</v>
      </c>
    </row>
    <row r="639" spans="1:9" ht="12.75" x14ac:dyDescent="0.2">
      <c r="A639" s="185">
        <v>165812006</v>
      </c>
      <c r="B639" s="186" t="s">
        <v>14</v>
      </c>
      <c r="C639" s="187" t="s">
        <v>1036</v>
      </c>
      <c r="D639" s="221"/>
      <c r="E639" s="189">
        <f t="shared" si="0"/>
        <v>0</v>
      </c>
      <c r="F639" s="190"/>
      <c r="G639" s="189">
        <f t="shared" si="1"/>
        <v>0</v>
      </c>
      <c r="H639" s="187" t="s">
        <v>88</v>
      </c>
      <c r="I639" s="222" t="s">
        <v>51</v>
      </c>
    </row>
    <row r="640" spans="1:9" ht="12.75" x14ac:dyDescent="0.2">
      <c r="A640" s="51">
        <v>165812006</v>
      </c>
      <c r="B640" s="52" t="s">
        <v>14</v>
      </c>
      <c r="C640" s="53" t="s">
        <v>1037</v>
      </c>
      <c r="D640" s="33"/>
      <c r="E640" s="56">
        <f t="shared" si="0"/>
        <v>0</v>
      </c>
      <c r="F640" s="57"/>
      <c r="G640" s="56">
        <f t="shared" si="1"/>
        <v>0</v>
      </c>
      <c r="H640" s="53" t="s">
        <v>88</v>
      </c>
      <c r="I640" s="66" t="s">
        <v>51</v>
      </c>
    </row>
    <row r="641" spans="1:9" ht="12.75" x14ac:dyDescent="0.2">
      <c r="A641" s="51">
        <v>165812006</v>
      </c>
      <c r="B641" s="52" t="s">
        <v>14</v>
      </c>
      <c r="C641" s="53" t="s">
        <v>1038</v>
      </c>
      <c r="D641" s="33"/>
      <c r="E641" s="56">
        <f t="shared" si="0"/>
        <v>0</v>
      </c>
      <c r="F641" s="57"/>
      <c r="G641" s="56">
        <f t="shared" si="1"/>
        <v>0</v>
      </c>
      <c r="H641" s="53" t="s">
        <v>88</v>
      </c>
      <c r="I641" s="66" t="s">
        <v>51</v>
      </c>
    </row>
    <row r="642" spans="1:9" ht="12.75" x14ac:dyDescent="0.2">
      <c r="A642" s="51">
        <v>165812006</v>
      </c>
      <c r="B642" s="52" t="s">
        <v>14</v>
      </c>
      <c r="C642" s="53" t="s">
        <v>1039</v>
      </c>
      <c r="D642" s="33"/>
      <c r="E642" s="56">
        <f t="shared" si="0"/>
        <v>0</v>
      </c>
      <c r="F642" s="57"/>
      <c r="G642" s="56">
        <f t="shared" si="1"/>
        <v>0</v>
      </c>
      <c r="H642" s="53" t="s">
        <v>88</v>
      </c>
      <c r="I642" s="66" t="s">
        <v>51</v>
      </c>
    </row>
    <row r="643" spans="1:9" ht="12.75" x14ac:dyDescent="0.2">
      <c r="A643" s="51">
        <v>165812006</v>
      </c>
      <c r="B643" s="52" t="s">
        <v>14</v>
      </c>
      <c r="C643" s="53" t="s">
        <v>1040</v>
      </c>
      <c r="D643" s="33"/>
      <c r="E643" s="56">
        <f t="shared" si="0"/>
        <v>0</v>
      </c>
      <c r="F643" s="57"/>
      <c r="G643" s="56">
        <f t="shared" si="1"/>
        <v>0</v>
      </c>
      <c r="H643" s="53" t="s">
        <v>88</v>
      </c>
      <c r="I643" s="66" t="s">
        <v>51</v>
      </c>
    </row>
    <row r="644" spans="1:9" ht="12.75" x14ac:dyDescent="0.2">
      <c r="A644" s="51">
        <v>165812006</v>
      </c>
      <c r="B644" s="52" t="s">
        <v>14</v>
      </c>
      <c r="C644" s="53" t="s">
        <v>1041</v>
      </c>
      <c r="D644" s="33"/>
      <c r="E644" s="56">
        <f t="shared" si="0"/>
        <v>0</v>
      </c>
      <c r="F644" s="57"/>
      <c r="G644" s="56">
        <f t="shared" si="1"/>
        <v>0</v>
      </c>
      <c r="H644" s="53" t="s">
        <v>88</v>
      </c>
      <c r="I644" s="66" t="s">
        <v>51</v>
      </c>
    </row>
    <row r="645" spans="1:9" ht="12.75" x14ac:dyDescent="0.2">
      <c r="A645" s="51">
        <v>165812006</v>
      </c>
      <c r="B645" s="52" t="s">
        <v>14</v>
      </c>
      <c r="C645" s="53" t="s">
        <v>1042</v>
      </c>
      <c r="D645" s="33"/>
      <c r="E645" s="56">
        <f t="shared" si="0"/>
        <v>0</v>
      </c>
      <c r="F645" s="57"/>
      <c r="G645" s="56">
        <f t="shared" si="1"/>
        <v>0</v>
      </c>
      <c r="H645" s="53" t="s">
        <v>88</v>
      </c>
      <c r="I645" s="66" t="s">
        <v>51</v>
      </c>
    </row>
    <row r="646" spans="1:9" ht="12.75" x14ac:dyDescent="0.2">
      <c r="A646" s="51">
        <v>165812006</v>
      </c>
      <c r="B646" s="52" t="s">
        <v>14</v>
      </c>
      <c r="C646" s="53" t="s">
        <v>1043</v>
      </c>
      <c r="D646" s="33"/>
      <c r="E646" s="56">
        <f t="shared" si="0"/>
        <v>0</v>
      </c>
      <c r="F646" s="57"/>
      <c r="G646" s="56">
        <f t="shared" si="1"/>
        <v>0</v>
      </c>
      <c r="H646" s="53" t="s">
        <v>88</v>
      </c>
      <c r="I646" s="66" t="s">
        <v>51</v>
      </c>
    </row>
    <row r="647" spans="1:9" ht="12.75" x14ac:dyDescent="0.2">
      <c r="A647" s="51">
        <v>165812006</v>
      </c>
      <c r="B647" s="52" t="s">
        <v>14</v>
      </c>
      <c r="C647" s="53" t="s">
        <v>1044</v>
      </c>
      <c r="D647" s="33"/>
      <c r="E647" s="56">
        <f t="shared" si="0"/>
        <v>0</v>
      </c>
      <c r="F647" s="57"/>
      <c r="G647" s="56">
        <f t="shared" si="1"/>
        <v>0</v>
      </c>
      <c r="H647" s="53" t="s">
        <v>88</v>
      </c>
      <c r="I647" s="66" t="s">
        <v>51</v>
      </c>
    </row>
    <row r="648" spans="1:9" ht="12.75" x14ac:dyDescent="0.2">
      <c r="A648" s="51">
        <v>165812006</v>
      </c>
      <c r="B648" s="52" t="s">
        <v>14</v>
      </c>
      <c r="C648" s="53" t="s">
        <v>1045</v>
      </c>
      <c r="D648" s="33"/>
      <c r="E648" s="56">
        <f t="shared" si="0"/>
        <v>0</v>
      </c>
      <c r="F648" s="57"/>
      <c r="G648" s="56">
        <f t="shared" si="1"/>
        <v>0</v>
      </c>
      <c r="H648" s="53" t="s">
        <v>88</v>
      </c>
      <c r="I648" s="66" t="s">
        <v>51</v>
      </c>
    </row>
    <row r="649" spans="1:9" ht="12.75" x14ac:dyDescent="0.2">
      <c r="A649" s="51">
        <v>165812006</v>
      </c>
      <c r="B649" s="52" t="s">
        <v>14</v>
      </c>
      <c r="C649" s="53" t="s">
        <v>1046</v>
      </c>
      <c r="D649" s="33"/>
      <c r="E649" s="56">
        <f t="shared" si="0"/>
        <v>0</v>
      </c>
      <c r="F649" s="57"/>
      <c r="G649" s="56">
        <f t="shared" si="1"/>
        <v>0</v>
      </c>
      <c r="H649" s="53" t="s">
        <v>88</v>
      </c>
      <c r="I649" s="66" t="s">
        <v>51</v>
      </c>
    </row>
    <row r="650" spans="1:9" ht="12.75" x14ac:dyDescent="0.2">
      <c r="A650" s="51">
        <v>165812006</v>
      </c>
      <c r="B650" s="52" t="s">
        <v>14</v>
      </c>
      <c r="C650" s="53" t="s">
        <v>1047</v>
      </c>
      <c r="D650" s="33"/>
      <c r="E650" s="56">
        <f t="shared" si="0"/>
        <v>0</v>
      </c>
      <c r="F650" s="57"/>
      <c r="G650" s="56">
        <f t="shared" si="1"/>
        <v>0</v>
      </c>
      <c r="H650" s="53" t="s">
        <v>88</v>
      </c>
      <c r="I650" s="66" t="s">
        <v>51</v>
      </c>
    </row>
    <row r="651" spans="1:9" ht="12.75" x14ac:dyDescent="0.2">
      <c r="A651" s="51">
        <v>165812006</v>
      </c>
      <c r="B651" s="52" t="s">
        <v>14</v>
      </c>
      <c r="C651" s="53" t="s">
        <v>1048</v>
      </c>
      <c r="D651" s="33"/>
      <c r="E651" s="56">
        <f t="shared" si="0"/>
        <v>0</v>
      </c>
      <c r="F651" s="57"/>
      <c r="G651" s="56">
        <f t="shared" si="1"/>
        <v>0</v>
      </c>
      <c r="H651" s="53" t="s">
        <v>88</v>
      </c>
      <c r="I651" s="66" t="s">
        <v>51</v>
      </c>
    </row>
    <row r="652" spans="1:9" ht="12.75" x14ac:dyDescent="0.2">
      <c r="A652" s="51">
        <v>165812006</v>
      </c>
      <c r="B652" s="52" t="s">
        <v>14</v>
      </c>
      <c r="C652" s="53" t="s">
        <v>1049</v>
      </c>
      <c r="D652" s="33"/>
      <c r="E652" s="56">
        <f t="shared" si="0"/>
        <v>0</v>
      </c>
      <c r="F652" s="57"/>
      <c r="G652" s="56">
        <f t="shared" si="1"/>
        <v>0</v>
      </c>
      <c r="H652" s="53" t="s">
        <v>88</v>
      </c>
      <c r="I652" s="66" t="s">
        <v>51</v>
      </c>
    </row>
    <row r="653" spans="1:9" ht="12.75" x14ac:dyDescent="0.2">
      <c r="A653" s="68">
        <v>165812006</v>
      </c>
      <c r="B653" s="63" t="s">
        <v>14</v>
      </c>
      <c r="C653" s="65" t="s">
        <v>1050</v>
      </c>
      <c r="D653" s="153"/>
      <c r="E653" s="69">
        <f t="shared" si="0"/>
        <v>0</v>
      </c>
      <c r="F653" s="71"/>
      <c r="G653" s="69">
        <f t="shared" si="1"/>
        <v>0</v>
      </c>
      <c r="H653" s="65" t="s">
        <v>88</v>
      </c>
      <c r="I653" s="81" t="s">
        <v>51</v>
      </c>
    </row>
    <row r="654" spans="1:9" ht="12.75" x14ac:dyDescent="0.2">
      <c r="A654" s="109">
        <v>48292005</v>
      </c>
      <c r="B654" s="80" t="s">
        <v>14</v>
      </c>
      <c r="C654" s="82" t="s">
        <v>1051</v>
      </c>
      <c r="D654" s="134">
        <v>4467.09</v>
      </c>
      <c r="E654" s="88">
        <f t="shared" si="0"/>
        <v>406.09909090909093</v>
      </c>
      <c r="F654" s="90">
        <v>0.1</v>
      </c>
      <c r="G654" s="92">
        <f t="shared" si="1"/>
        <v>406.09909090909105</v>
      </c>
      <c r="H654" s="82" t="s">
        <v>52</v>
      </c>
      <c r="I654" s="112" t="s">
        <v>51</v>
      </c>
    </row>
    <row r="655" spans="1:9" ht="12.75" x14ac:dyDescent="0.2">
      <c r="A655" s="51">
        <v>48292005</v>
      </c>
      <c r="B655" s="31" t="s">
        <v>14</v>
      </c>
      <c r="C655" s="53" t="s">
        <v>1052</v>
      </c>
      <c r="D655" s="54">
        <v>4085.77</v>
      </c>
      <c r="E655" s="56">
        <f t="shared" si="0"/>
        <v>371.43363636363637</v>
      </c>
      <c r="F655" s="57">
        <v>0.1</v>
      </c>
      <c r="G655" s="64">
        <f t="shared" si="1"/>
        <v>371.43363636363665</v>
      </c>
      <c r="H655" s="53" t="s">
        <v>52</v>
      </c>
      <c r="I655" s="66" t="s">
        <v>51</v>
      </c>
    </row>
    <row r="656" spans="1:9" ht="12.75" x14ac:dyDescent="0.2">
      <c r="A656" s="51">
        <v>48292005</v>
      </c>
      <c r="B656" s="31" t="s">
        <v>14</v>
      </c>
      <c r="C656" s="53" t="s">
        <v>1053</v>
      </c>
      <c r="D656" s="54">
        <v>2928.96</v>
      </c>
      <c r="E656" s="56">
        <f t="shared" si="0"/>
        <v>266.26909090909089</v>
      </c>
      <c r="F656" s="57">
        <v>0.1</v>
      </c>
      <c r="G656" s="64">
        <f t="shared" si="1"/>
        <v>266.26909090909112</v>
      </c>
      <c r="H656" s="53" t="s">
        <v>52</v>
      </c>
      <c r="I656" s="66" t="s">
        <v>51</v>
      </c>
    </row>
    <row r="657" spans="1:9" ht="12.75" x14ac:dyDescent="0.2">
      <c r="A657" s="51">
        <v>48292005</v>
      </c>
      <c r="B657" s="31" t="s">
        <v>14</v>
      </c>
      <c r="C657" s="53" t="s">
        <v>1054</v>
      </c>
      <c r="D657" s="54">
        <v>4014.61</v>
      </c>
      <c r="E657" s="56">
        <f t="shared" si="0"/>
        <v>364.96454545454549</v>
      </c>
      <c r="F657" s="57">
        <v>0.1</v>
      </c>
      <c r="G657" s="64">
        <f t="shared" si="1"/>
        <v>364.96454545454571</v>
      </c>
      <c r="H657" s="53" t="s">
        <v>52</v>
      </c>
      <c r="I657" s="66" t="s">
        <v>51</v>
      </c>
    </row>
    <row r="658" spans="1:9" ht="12.75" x14ac:dyDescent="0.2">
      <c r="A658" s="75">
        <v>48292005</v>
      </c>
      <c r="B658" s="77" t="s">
        <v>14</v>
      </c>
      <c r="C658" s="79" t="s">
        <v>1055</v>
      </c>
      <c r="D658" s="84">
        <v>4928.04</v>
      </c>
      <c r="E658" s="86">
        <f t="shared" si="0"/>
        <v>448.00363636363636</v>
      </c>
      <c r="F658" s="93">
        <v>0.1</v>
      </c>
      <c r="G658" s="96">
        <f t="shared" si="1"/>
        <v>448.00363636363636</v>
      </c>
      <c r="H658" s="79" t="s">
        <v>52</v>
      </c>
      <c r="I658" s="98" t="s">
        <v>51</v>
      </c>
    </row>
    <row r="659" spans="1:9" ht="12.75" x14ac:dyDescent="0.2">
      <c r="A659" s="44">
        <v>12412007</v>
      </c>
      <c r="B659" s="13" t="s">
        <v>14</v>
      </c>
      <c r="C659" s="14" t="s">
        <v>1056</v>
      </c>
      <c r="D659" s="100"/>
      <c r="E659" s="46">
        <f t="shared" si="0"/>
        <v>0</v>
      </c>
      <c r="F659" s="17">
        <v>0.1</v>
      </c>
      <c r="G659" s="46">
        <f t="shared" si="1"/>
        <v>0</v>
      </c>
      <c r="H659" s="14" t="s">
        <v>73</v>
      </c>
      <c r="I659" s="49" t="s">
        <v>51</v>
      </c>
    </row>
    <row r="660" spans="1:9" ht="12.75" x14ac:dyDescent="0.2">
      <c r="A660" s="51">
        <v>12412007</v>
      </c>
      <c r="B660" s="52" t="s">
        <v>14</v>
      </c>
      <c r="C660" s="53" t="s">
        <v>1057</v>
      </c>
      <c r="D660" s="33"/>
      <c r="E660" s="56">
        <f t="shared" si="0"/>
        <v>0</v>
      </c>
      <c r="F660" s="57">
        <v>0.1</v>
      </c>
      <c r="G660" s="56">
        <f t="shared" si="1"/>
        <v>0</v>
      </c>
      <c r="H660" s="53" t="s">
        <v>315</v>
      </c>
      <c r="I660" s="66" t="s">
        <v>51</v>
      </c>
    </row>
    <row r="661" spans="1:9" ht="12.75" x14ac:dyDescent="0.2">
      <c r="A661" s="51">
        <v>12412007</v>
      </c>
      <c r="B661" s="52" t="s">
        <v>14</v>
      </c>
      <c r="C661" s="53" t="s">
        <v>1058</v>
      </c>
      <c r="D661" s="33"/>
      <c r="E661" s="56">
        <f t="shared" si="0"/>
        <v>0</v>
      </c>
      <c r="F661" s="57">
        <v>0.1</v>
      </c>
      <c r="G661" s="56">
        <f t="shared" si="1"/>
        <v>0</v>
      </c>
      <c r="H661" s="53" t="s">
        <v>315</v>
      </c>
      <c r="I661" s="66" t="s">
        <v>51</v>
      </c>
    </row>
    <row r="662" spans="1:9" ht="12.75" x14ac:dyDescent="0.2">
      <c r="A662" s="51">
        <v>12412007</v>
      </c>
      <c r="B662" s="52" t="s">
        <v>14</v>
      </c>
      <c r="C662" s="53" t="s">
        <v>1059</v>
      </c>
      <c r="D662" s="33"/>
      <c r="E662" s="56">
        <f t="shared" si="0"/>
        <v>0</v>
      </c>
      <c r="F662" s="57">
        <v>0.1</v>
      </c>
      <c r="G662" s="56">
        <f t="shared" si="1"/>
        <v>0</v>
      </c>
      <c r="H662" s="53" t="s">
        <v>315</v>
      </c>
      <c r="I662" s="66" t="s">
        <v>51</v>
      </c>
    </row>
    <row r="663" spans="1:9" ht="12.75" x14ac:dyDescent="0.2">
      <c r="A663" s="51">
        <v>12412007</v>
      </c>
      <c r="B663" s="52" t="s">
        <v>14</v>
      </c>
      <c r="C663" s="53" t="s">
        <v>1060</v>
      </c>
      <c r="D663" s="33"/>
      <c r="E663" s="56">
        <f t="shared" si="0"/>
        <v>0</v>
      </c>
      <c r="F663" s="57">
        <v>0.1</v>
      </c>
      <c r="G663" s="56">
        <f t="shared" si="1"/>
        <v>0</v>
      </c>
      <c r="H663" s="53" t="s">
        <v>52</v>
      </c>
      <c r="I663" s="66" t="s">
        <v>51</v>
      </c>
    </row>
    <row r="664" spans="1:9" ht="12.75" x14ac:dyDescent="0.2">
      <c r="A664" s="51">
        <v>12412007</v>
      </c>
      <c r="B664" s="52" t="s">
        <v>14</v>
      </c>
      <c r="C664" s="53" t="s">
        <v>1061</v>
      </c>
      <c r="D664" s="33"/>
      <c r="E664" s="56">
        <f t="shared" si="0"/>
        <v>0</v>
      </c>
      <c r="F664" s="57">
        <v>0.1</v>
      </c>
      <c r="G664" s="56">
        <f t="shared" si="1"/>
        <v>0</v>
      </c>
      <c r="H664" s="53" t="s">
        <v>52</v>
      </c>
      <c r="I664" s="66" t="s">
        <v>51</v>
      </c>
    </row>
    <row r="665" spans="1:9" ht="12.75" x14ac:dyDescent="0.2">
      <c r="A665" s="51">
        <v>12412007</v>
      </c>
      <c r="B665" s="52" t="s">
        <v>14</v>
      </c>
      <c r="C665" s="53" t="s">
        <v>1062</v>
      </c>
      <c r="D665" s="33"/>
      <c r="E665" s="56">
        <f t="shared" si="0"/>
        <v>0</v>
      </c>
      <c r="F665" s="57">
        <v>0.1</v>
      </c>
      <c r="G665" s="56">
        <f t="shared" si="1"/>
        <v>0</v>
      </c>
      <c r="H665" s="53" t="s">
        <v>52</v>
      </c>
      <c r="I665" s="66" t="s">
        <v>51</v>
      </c>
    </row>
    <row r="666" spans="1:9" ht="12.75" x14ac:dyDescent="0.2">
      <c r="A666" s="51">
        <v>12412007</v>
      </c>
      <c r="B666" s="52" t="s">
        <v>14</v>
      </c>
      <c r="C666" s="53" t="s">
        <v>1063</v>
      </c>
      <c r="D666" s="33"/>
      <c r="E666" s="56">
        <f t="shared" si="0"/>
        <v>0</v>
      </c>
      <c r="F666" s="57">
        <v>0.1</v>
      </c>
      <c r="G666" s="56">
        <f t="shared" si="1"/>
        <v>0</v>
      </c>
      <c r="H666" s="53" t="s">
        <v>315</v>
      </c>
      <c r="I666" s="66" t="s">
        <v>51</v>
      </c>
    </row>
    <row r="667" spans="1:9" ht="12.75" x14ac:dyDescent="0.2">
      <c r="A667" s="51">
        <v>12412007</v>
      </c>
      <c r="B667" s="52" t="s">
        <v>14</v>
      </c>
      <c r="C667" s="53" t="s">
        <v>1064</v>
      </c>
      <c r="D667" s="33"/>
      <c r="E667" s="56">
        <f t="shared" si="0"/>
        <v>0</v>
      </c>
      <c r="F667" s="57">
        <v>0.1</v>
      </c>
      <c r="G667" s="56">
        <f t="shared" si="1"/>
        <v>0</v>
      </c>
      <c r="H667" s="53" t="s">
        <v>52</v>
      </c>
      <c r="I667" s="66" t="s">
        <v>51</v>
      </c>
    </row>
    <row r="668" spans="1:9" ht="12.75" x14ac:dyDescent="0.2">
      <c r="A668" s="51">
        <v>12412007</v>
      </c>
      <c r="B668" s="52" t="s">
        <v>14</v>
      </c>
      <c r="C668" s="53" t="s">
        <v>1065</v>
      </c>
      <c r="D668" s="33"/>
      <c r="E668" s="56">
        <f t="shared" si="0"/>
        <v>0</v>
      </c>
      <c r="F668" s="57">
        <v>0.1</v>
      </c>
      <c r="G668" s="56">
        <f t="shared" si="1"/>
        <v>0</v>
      </c>
      <c r="H668" s="53" t="s">
        <v>315</v>
      </c>
      <c r="I668" s="66" t="s">
        <v>51</v>
      </c>
    </row>
    <row r="669" spans="1:9" ht="12.75" x14ac:dyDescent="0.2">
      <c r="A669" s="51">
        <v>12412007</v>
      </c>
      <c r="B669" s="52" t="s">
        <v>14</v>
      </c>
      <c r="C669" s="53" t="s">
        <v>1066</v>
      </c>
      <c r="D669" s="33"/>
      <c r="E669" s="56">
        <f t="shared" si="0"/>
        <v>0</v>
      </c>
      <c r="F669" s="57">
        <v>0.1</v>
      </c>
      <c r="G669" s="56">
        <f t="shared" si="1"/>
        <v>0</v>
      </c>
      <c r="H669" s="53" t="s">
        <v>73</v>
      </c>
      <c r="I669" s="66" t="s">
        <v>51</v>
      </c>
    </row>
    <row r="670" spans="1:9" ht="12.75" x14ac:dyDescent="0.2">
      <c r="A670" s="51">
        <v>12412007</v>
      </c>
      <c r="B670" s="52" t="s">
        <v>14</v>
      </c>
      <c r="C670" s="53" t="s">
        <v>1067</v>
      </c>
      <c r="D670" s="33"/>
      <c r="E670" s="56">
        <f t="shared" si="0"/>
        <v>0</v>
      </c>
      <c r="F670" s="57">
        <v>0.1</v>
      </c>
      <c r="G670" s="56">
        <f t="shared" si="1"/>
        <v>0</v>
      </c>
      <c r="H670" s="53" t="s">
        <v>315</v>
      </c>
      <c r="I670" s="66" t="s">
        <v>51</v>
      </c>
    </row>
    <row r="671" spans="1:9" ht="12.75" x14ac:dyDescent="0.2">
      <c r="A671" s="68">
        <v>12412007</v>
      </c>
      <c r="B671" s="63" t="s">
        <v>14</v>
      </c>
      <c r="C671" s="65" t="s">
        <v>1068</v>
      </c>
      <c r="D671" s="153"/>
      <c r="E671" s="69">
        <f t="shared" si="0"/>
        <v>0</v>
      </c>
      <c r="F671" s="71">
        <v>0.1</v>
      </c>
      <c r="G671" s="69">
        <f t="shared" si="1"/>
        <v>0</v>
      </c>
      <c r="H671" s="65" t="s">
        <v>315</v>
      </c>
      <c r="I671" s="81" t="s">
        <v>51</v>
      </c>
    </row>
    <row r="672" spans="1:9" ht="12.75" x14ac:dyDescent="0.2">
      <c r="A672" s="116">
        <v>191352002</v>
      </c>
      <c r="B672" s="20" t="s">
        <v>1069</v>
      </c>
      <c r="C672" s="223" t="s">
        <v>1070</v>
      </c>
      <c r="D672" s="101">
        <v>4093.17</v>
      </c>
      <c r="E672" s="103">
        <f t="shared" si="0"/>
        <v>372.10636363636365</v>
      </c>
      <c r="F672" s="24">
        <v>0.1</v>
      </c>
      <c r="G672" s="103">
        <f t="shared" si="1"/>
        <v>372.10636363636377</v>
      </c>
      <c r="H672" s="21" t="s">
        <v>52</v>
      </c>
      <c r="I672" s="120" t="s">
        <v>51</v>
      </c>
    </row>
    <row r="673" spans="1:9" ht="12.75" x14ac:dyDescent="0.2">
      <c r="A673" s="145">
        <v>246532010</v>
      </c>
      <c r="B673" s="6" t="s">
        <v>13</v>
      </c>
      <c r="C673" s="7" t="s">
        <v>1071</v>
      </c>
      <c r="D673" s="147">
        <f>3186.96+318.69</f>
        <v>3505.65</v>
      </c>
      <c r="E673" s="113">
        <f t="shared" si="0"/>
        <v>318.6954545454546</v>
      </c>
      <c r="F673" s="10">
        <v>0.1</v>
      </c>
      <c r="G673" s="113">
        <f t="shared" si="1"/>
        <v>318.6954545454546</v>
      </c>
      <c r="H673" s="7" t="s">
        <v>52</v>
      </c>
      <c r="I673" s="148" t="s">
        <v>51</v>
      </c>
    </row>
    <row r="674" spans="1:9" ht="12.75" x14ac:dyDescent="0.2">
      <c r="A674" s="12">
        <v>148052008</v>
      </c>
      <c r="B674" s="13" t="s">
        <v>14</v>
      </c>
      <c r="C674" s="14" t="s">
        <v>1072</v>
      </c>
      <c r="D674" s="100"/>
      <c r="E674" s="46">
        <f t="shared" si="0"/>
        <v>0</v>
      </c>
      <c r="F674" s="17"/>
      <c r="G674" s="46">
        <f t="shared" si="1"/>
        <v>0</v>
      </c>
      <c r="H674" s="14" t="s">
        <v>52</v>
      </c>
      <c r="I674" s="18" t="s">
        <v>51</v>
      </c>
    </row>
    <row r="675" spans="1:9" ht="12.75" x14ac:dyDescent="0.2">
      <c r="A675" s="121">
        <v>148052008</v>
      </c>
      <c r="B675" s="52" t="s">
        <v>14</v>
      </c>
      <c r="C675" s="53" t="s">
        <v>1073</v>
      </c>
      <c r="D675" s="33"/>
      <c r="E675" s="56">
        <f t="shared" si="0"/>
        <v>0</v>
      </c>
      <c r="F675" s="57"/>
      <c r="G675" s="56">
        <f t="shared" si="1"/>
        <v>0</v>
      </c>
      <c r="H675" s="53" t="s">
        <v>52</v>
      </c>
      <c r="I675" s="245" t="s">
        <v>51</v>
      </c>
    </row>
    <row r="676" spans="1:9" ht="12.75" x14ac:dyDescent="0.2">
      <c r="A676" s="121">
        <v>148052008</v>
      </c>
      <c r="B676" s="52" t="s">
        <v>14</v>
      </c>
      <c r="C676" s="53" t="s">
        <v>1074</v>
      </c>
      <c r="D676" s="33"/>
      <c r="E676" s="56">
        <f t="shared" si="0"/>
        <v>0</v>
      </c>
      <c r="F676" s="57"/>
      <c r="G676" s="56">
        <f t="shared" si="1"/>
        <v>0</v>
      </c>
      <c r="H676" s="53" t="s">
        <v>52</v>
      </c>
      <c r="I676" s="245" t="s">
        <v>51</v>
      </c>
    </row>
    <row r="677" spans="1:9" ht="12.75" x14ac:dyDescent="0.2">
      <c r="A677" s="121">
        <v>148052008</v>
      </c>
      <c r="B677" s="52" t="s">
        <v>14</v>
      </c>
      <c r="C677" s="53" t="s">
        <v>1075</v>
      </c>
      <c r="D677" s="33"/>
      <c r="E677" s="56">
        <f t="shared" si="0"/>
        <v>0</v>
      </c>
      <c r="F677" s="57"/>
      <c r="G677" s="56">
        <f t="shared" si="1"/>
        <v>0</v>
      </c>
      <c r="H677" s="53" t="s">
        <v>52</v>
      </c>
      <c r="I677" s="245" t="s">
        <v>51</v>
      </c>
    </row>
    <row r="678" spans="1:9" ht="12.75" x14ac:dyDescent="0.2">
      <c r="A678" s="121">
        <v>148052008</v>
      </c>
      <c r="B678" s="52" t="s">
        <v>14</v>
      </c>
      <c r="C678" s="53" t="s">
        <v>1076</v>
      </c>
      <c r="D678" s="33"/>
      <c r="E678" s="56">
        <f t="shared" si="0"/>
        <v>0</v>
      </c>
      <c r="F678" s="57"/>
      <c r="G678" s="56">
        <f t="shared" si="1"/>
        <v>0</v>
      </c>
      <c r="H678" s="53" t="s">
        <v>52</v>
      </c>
      <c r="I678" s="245" t="s">
        <v>51</v>
      </c>
    </row>
    <row r="679" spans="1:9" ht="12.75" x14ac:dyDescent="0.2">
      <c r="A679" s="121">
        <v>148052008</v>
      </c>
      <c r="B679" s="52" t="s">
        <v>14</v>
      </c>
      <c r="C679" s="53" t="s">
        <v>1077</v>
      </c>
      <c r="D679" s="33"/>
      <c r="E679" s="56">
        <f t="shared" si="0"/>
        <v>0</v>
      </c>
      <c r="F679" s="57"/>
      <c r="G679" s="56">
        <f t="shared" si="1"/>
        <v>0</v>
      </c>
      <c r="H679" s="53" t="s">
        <v>52</v>
      </c>
      <c r="I679" s="245" t="s">
        <v>51</v>
      </c>
    </row>
    <row r="680" spans="1:9" ht="12.75" x14ac:dyDescent="0.2">
      <c r="A680" s="121">
        <v>148052008</v>
      </c>
      <c r="B680" s="52" t="s">
        <v>14</v>
      </c>
      <c r="C680" s="53" t="s">
        <v>1078</v>
      </c>
      <c r="D680" s="33"/>
      <c r="E680" s="56">
        <f t="shared" si="0"/>
        <v>0</v>
      </c>
      <c r="F680" s="57"/>
      <c r="G680" s="56">
        <f t="shared" si="1"/>
        <v>0</v>
      </c>
      <c r="H680" s="53" t="s">
        <v>52</v>
      </c>
      <c r="I680" s="245" t="s">
        <v>51</v>
      </c>
    </row>
    <row r="681" spans="1:9" ht="12.75" x14ac:dyDescent="0.2">
      <c r="A681" s="121">
        <v>148052008</v>
      </c>
      <c r="B681" s="52" t="s">
        <v>14</v>
      </c>
      <c r="C681" s="53" t="s">
        <v>1079</v>
      </c>
      <c r="D681" s="33"/>
      <c r="E681" s="56">
        <f t="shared" si="0"/>
        <v>0</v>
      </c>
      <c r="F681" s="57"/>
      <c r="G681" s="56">
        <f t="shared" si="1"/>
        <v>0</v>
      </c>
      <c r="H681" s="53" t="s">
        <v>52</v>
      </c>
      <c r="I681" s="245" t="s">
        <v>51</v>
      </c>
    </row>
    <row r="682" spans="1:9" ht="12.75" x14ac:dyDescent="0.2">
      <c r="A682" s="121">
        <v>148052008</v>
      </c>
      <c r="B682" s="52" t="s">
        <v>14</v>
      </c>
      <c r="C682" s="53" t="s">
        <v>1080</v>
      </c>
      <c r="D682" s="33"/>
      <c r="E682" s="56">
        <f t="shared" si="0"/>
        <v>0</v>
      </c>
      <c r="F682" s="57"/>
      <c r="G682" s="56">
        <f t="shared" si="1"/>
        <v>0</v>
      </c>
      <c r="H682" s="53" t="s">
        <v>52</v>
      </c>
      <c r="I682" s="245" t="s">
        <v>51</v>
      </c>
    </row>
    <row r="683" spans="1:9" ht="12.75" x14ac:dyDescent="0.2">
      <c r="A683" s="121">
        <v>148052008</v>
      </c>
      <c r="B683" s="52" t="s">
        <v>14</v>
      </c>
      <c r="C683" s="53" t="s">
        <v>1081</v>
      </c>
      <c r="D683" s="33"/>
      <c r="E683" s="56">
        <f t="shared" si="0"/>
        <v>0</v>
      </c>
      <c r="F683" s="57"/>
      <c r="G683" s="56">
        <f t="shared" si="1"/>
        <v>0</v>
      </c>
      <c r="H683" s="53" t="s">
        <v>52</v>
      </c>
      <c r="I683" s="245" t="s">
        <v>51</v>
      </c>
    </row>
    <row r="684" spans="1:9" ht="12.75" x14ac:dyDescent="0.2">
      <c r="A684" s="121">
        <v>148052008</v>
      </c>
      <c r="B684" s="52" t="s">
        <v>14</v>
      </c>
      <c r="C684" s="53" t="s">
        <v>1082</v>
      </c>
      <c r="D684" s="33"/>
      <c r="E684" s="56">
        <f t="shared" si="0"/>
        <v>0</v>
      </c>
      <c r="F684" s="57"/>
      <c r="G684" s="56">
        <f t="shared" si="1"/>
        <v>0</v>
      </c>
      <c r="H684" s="53" t="s">
        <v>52</v>
      </c>
      <c r="I684" s="245" t="s">
        <v>51</v>
      </c>
    </row>
    <row r="685" spans="1:9" ht="12.75" x14ac:dyDescent="0.2">
      <c r="A685" s="121">
        <v>148052008</v>
      </c>
      <c r="B685" s="52" t="s">
        <v>14</v>
      </c>
      <c r="C685" s="53" t="s">
        <v>1083</v>
      </c>
      <c r="D685" s="33"/>
      <c r="E685" s="56">
        <f t="shared" si="0"/>
        <v>0</v>
      </c>
      <c r="F685" s="57"/>
      <c r="G685" s="56">
        <f t="shared" si="1"/>
        <v>0</v>
      </c>
      <c r="H685" s="53" t="s">
        <v>52</v>
      </c>
      <c r="I685" s="245" t="s">
        <v>51</v>
      </c>
    </row>
    <row r="686" spans="1:9" ht="12.75" x14ac:dyDescent="0.2">
      <c r="A686" s="121">
        <v>148052008</v>
      </c>
      <c r="B686" s="52" t="s">
        <v>14</v>
      </c>
      <c r="C686" s="53" t="s">
        <v>1051</v>
      </c>
      <c r="D686" s="33"/>
      <c r="E686" s="56">
        <f t="shared" si="0"/>
        <v>0</v>
      </c>
      <c r="F686" s="57"/>
      <c r="G686" s="56">
        <f t="shared" si="1"/>
        <v>0</v>
      </c>
      <c r="H686" s="53" t="s">
        <v>52</v>
      </c>
      <c r="I686" s="245" t="s">
        <v>51</v>
      </c>
    </row>
    <row r="687" spans="1:9" ht="12.75" x14ac:dyDescent="0.2">
      <c r="A687" s="121">
        <v>148052008</v>
      </c>
      <c r="B687" s="52" t="s">
        <v>14</v>
      </c>
      <c r="C687" s="53" t="s">
        <v>1084</v>
      </c>
      <c r="D687" s="33"/>
      <c r="E687" s="56">
        <f t="shared" si="0"/>
        <v>0</v>
      </c>
      <c r="F687" s="57"/>
      <c r="G687" s="56">
        <f t="shared" si="1"/>
        <v>0</v>
      </c>
      <c r="H687" s="53" t="s">
        <v>52</v>
      </c>
      <c r="I687" s="245" t="s">
        <v>51</v>
      </c>
    </row>
    <row r="688" spans="1:9" ht="12.75" x14ac:dyDescent="0.2">
      <c r="A688" s="129">
        <v>148052008</v>
      </c>
      <c r="B688" s="63" t="s">
        <v>14</v>
      </c>
      <c r="C688" s="65" t="s">
        <v>1085</v>
      </c>
      <c r="D688" s="153"/>
      <c r="E688" s="69">
        <f t="shared" si="0"/>
        <v>0</v>
      </c>
      <c r="F688" s="71"/>
      <c r="G688" s="69">
        <f t="shared" si="1"/>
        <v>0</v>
      </c>
      <c r="H688" s="65" t="s">
        <v>52</v>
      </c>
      <c r="I688" s="246" t="s">
        <v>51</v>
      </c>
    </row>
    <row r="689" spans="1:9" ht="12.75" x14ac:dyDescent="0.2">
      <c r="A689" s="5">
        <v>191512010</v>
      </c>
      <c r="B689" s="6" t="s">
        <v>13</v>
      </c>
      <c r="C689" s="7" t="s">
        <v>1086</v>
      </c>
      <c r="D689" s="8">
        <v>9721.24</v>
      </c>
      <c r="E689" s="113">
        <f t="shared" si="0"/>
        <v>972.12400000000002</v>
      </c>
      <c r="F689" s="10"/>
      <c r="G689" s="113">
        <f t="shared" si="1"/>
        <v>0</v>
      </c>
      <c r="H689" s="7" t="s">
        <v>50</v>
      </c>
      <c r="I689" s="11" t="s">
        <v>51</v>
      </c>
    </row>
    <row r="690" spans="1:9" ht="12.75" x14ac:dyDescent="0.2">
      <c r="A690" s="12">
        <v>48712005</v>
      </c>
      <c r="B690" s="13" t="s">
        <v>14</v>
      </c>
      <c r="C690" s="14" t="s">
        <v>1087</v>
      </c>
      <c r="D690" s="15">
        <v>7397.86</v>
      </c>
      <c r="E690" s="46">
        <f t="shared" si="0"/>
        <v>672.53272727272724</v>
      </c>
      <c r="F690" s="17">
        <v>0.1</v>
      </c>
      <c r="G690" s="48">
        <f t="shared" si="1"/>
        <v>672.53272727272815</v>
      </c>
      <c r="H690" s="14" t="s">
        <v>41</v>
      </c>
      <c r="I690" s="18" t="s">
        <v>51</v>
      </c>
    </row>
    <row r="691" spans="1:9" ht="12.75" x14ac:dyDescent="0.2">
      <c r="A691" s="121">
        <v>48712005</v>
      </c>
      <c r="B691" s="52" t="s">
        <v>14</v>
      </c>
      <c r="C691" s="53" t="s">
        <v>1088</v>
      </c>
      <c r="D691" s="54">
        <v>5200.84</v>
      </c>
      <c r="E691" s="56">
        <f t="shared" si="0"/>
        <v>472.80363636363637</v>
      </c>
      <c r="F691" s="57">
        <v>0.1</v>
      </c>
      <c r="G691" s="64">
        <f t="shared" si="1"/>
        <v>472.80363636363654</v>
      </c>
      <c r="H691" s="53" t="s">
        <v>41</v>
      </c>
      <c r="I691" s="245" t="s">
        <v>51</v>
      </c>
    </row>
    <row r="692" spans="1:9" ht="12.75" x14ac:dyDescent="0.2">
      <c r="A692" s="121">
        <v>48712005</v>
      </c>
      <c r="B692" s="52" t="s">
        <v>14</v>
      </c>
      <c r="C692" s="53" t="s">
        <v>1089</v>
      </c>
      <c r="D692" s="54">
        <v>4975.45</v>
      </c>
      <c r="E692" s="56">
        <f t="shared" si="0"/>
        <v>452.31363636363631</v>
      </c>
      <c r="F692" s="57">
        <v>0.1</v>
      </c>
      <c r="G692" s="64">
        <f t="shared" si="1"/>
        <v>452.31363636363676</v>
      </c>
      <c r="H692" s="53" t="s">
        <v>41</v>
      </c>
      <c r="I692" s="245" t="s">
        <v>51</v>
      </c>
    </row>
    <row r="693" spans="1:9" ht="12.75" x14ac:dyDescent="0.2">
      <c r="A693" s="121">
        <v>48712005</v>
      </c>
      <c r="B693" s="52" t="s">
        <v>14</v>
      </c>
      <c r="C693" s="53" t="s">
        <v>1090</v>
      </c>
      <c r="D693" s="54">
        <f>4146.61+5092.55</f>
        <v>9239.16</v>
      </c>
      <c r="E693" s="56">
        <f t="shared" si="0"/>
        <v>839.92363636363632</v>
      </c>
      <c r="F693" s="57">
        <v>0.1</v>
      </c>
      <c r="G693" s="64">
        <f t="shared" si="1"/>
        <v>839.92363636363734</v>
      </c>
      <c r="H693" s="53" t="s">
        <v>50</v>
      </c>
      <c r="I693" s="245" t="s">
        <v>51</v>
      </c>
    </row>
    <row r="694" spans="1:9" ht="12.75" x14ac:dyDescent="0.2">
      <c r="A694" s="129">
        <v>48712005</v>
      </c>
      <c r="B694" s="63" t="s">
        <v>14</v>
      </c>
      <c r="C694" s="65" t="s">
        <v>1091</v>
      </c>
      <c r="D694" s="67">
        <v>18321.900000000001</v>
      </c>
      <c r="E694" s="69">
        <f t="shared" si="0"/>
        <v>1665.6272727272728</v>
      </c>
      <c r="F694" s="71">
        <v>0.1</v>
      </c>
      <c r="G694" s="199">
        <f t="shared" si="1"/>
        <v>1665.6272727272735</v>
      </c>
      <c r="H694" s="65" t="s">
        <v>41</v>
      </c>
      <c r="I694" s="246" t="s">
        <v>51</v>
      </c>
    </row>
    <row r="695" spans="1:9" ht="12.75" x14ac:dyDescent="0.2">
      <c r="A695" s="12">
        <v>123142009</v>
      </c>
      <c r="B695" s="13" t="s">
        <v>14</v>
      </c>
      <c r="C695" s="14" t="s">
        <v>1092</v>
      </c>
      <c r="D695" s="15"/>
      <c r="E695" s="46">
        <f t="shared" si="0"/>
        <v>0</v>
      </c>
      <c r="F695" s="17"/>
      <c r="G695" s="48">
        <f t="shared" si="1"/>
        <v>0</v>
      </c>
      <c r="H695" s="14" t="s">
        <v>52</v>
      </c>
      <c r="I695" s="119" t="s">
        <v>51</v>
      </c>
    </row>
    <row r="696" spans="1:9" ht="12.75" x14ac:dyDescent="0.2">
      <c r="A696" s="78">
        <v>123142009</v>
      </c>
      <c r="B696" s="80" t="s">
        <v>14</v>
      </c>
      <c r="C696" s="82" t="s">
        <v>1093</v>
      </c>
      <c r="D696" s="134"/>
      <c r="E696" s="88">
        <f t="shared" si="0"/>
        <v>0</v>
      </c>
      <c r="F696" s="90"/>
      <c r="G696" s="92">
        <f t="shared" si="1"/>
        <v>0</v>
      </c>
      <c r="H696" s="82" t="s">
        <v>52</v>
      </c>
      <c r="I696" s="94" t="s">
        <v>51</v>
      </c>
    </row>
    <row r="697" spans="1:9" ht="12.75" x14ac:dyDescent="0.2">
      <c r="A697" s="78">
        <v>123142009</v>
      </c>
      <c r="B697" s="80" t="s">
        <v>14</v>
      </c>
      <c r="C697" s="82" t="s">
        <v>1094</v>
      </c>
      <c r="D697" s="134"/>
      <c r="E697" s="88">
        <f t="shared" si="0"/>
        <v>0</v>
      </c>
      <c r="F697" s="90"/>
      <c r="G697" s="92">
        <f t="shared" si="1"/>
        <v>0</v>
      </c>
      <c r="H697" s="82" t="s">
        <v>73</v>
      </c>
      <c r="I697" s="94" t="s">
        <v>51</v>
      </c>
    </row>
    <row r="698" spans="1:9" ht="12.75" x14ac:dyDescent="0.2">
      <c r="A698" s="78">
        <v>123142009</v>
      </c>
      <c r="B698" s="80" t="s">
        <v>14</v>
      </c>
      <c r="C698" s="82" t="s">
        <v>1095</v>
      </c>
      <c r="D698" s="134"/>
      <c r="E698" s="88">
        <f t="shared" si="0"/>
        <v>0</v>
      </c>
      <c r="F698" s="90"/>
      <c r="G698" s="92">
        <f t="shared" si="1"/>
        <v>0</v>
      </c>
      <c r="H698" s="82" t="s">
        <v>73</v>
      </c>
      <c r="I698" s="94" t="s">
        <v>51</v>
      </c>
    </row>
    <row r="699" spans="1:9" ht="12.75" x14ac:dyDescent="0.2">
      <c r="A699" s="78">
        <v>123142009</v>
      </c>
      <c r="B699" s="80" t="s">
        <v>14</v>
      </c>
      <c r="C699" s="82" t="s">
        <v>1096</v>
      </c>
      <c r="D699" s="134"/>
      <c r="E699" s="88">
        <f t="shared" si="0"/>
        <v>0</v>
      </c>
      <c r="F699" s="90"/>
      <c r="G699" s="88">
        <f t="shared" si="1"/>
        <v>0</v>
      </c>
      <c r="H699" s="82" t="s">
        <v>50</v>
      </c>
      <c r="I699" s="94" t="s">
        <v>51</v>
      </c>
    </row>
    <row r="700" spans="1:9" ht="12.75" x14ac:dyDescent="0.2">
      <c r="A700" s="78">
        <v>123142009</v>
      </c>
      <c r="B700" s="80" t="s">
        <v>14</v>
      </c>
      <c r="C700" s="82" t="s">
        <v>1097</v>
      </c>
      <c r="D700" s="134"/>
      <c r="E700" s="88">
        <f t="shared" si="0"/>
        <v>0</v>
      </c>
      <c r="F700" s="90"/>
      <c r="G700" s="88">
        <f t="shared" si="1"/>
        <v>0</v>
      </c>
      <c r="H700" s="82" t="s">
        <v>50</v>
      </c>
      <c r="I700" s="94" t="s">
        <v>51</v>
      </c>
    </row>
    <row r="701" spans="1:9" ht="12.75" x14ac:dyDescent="0.2">
      <c r="A701" s="78">
        <v>123142009</v>
      </c>
      <c r="B701" s="80" t="s">
        <v>14</v>
      </c>
      <c r="C701" s="82" t="s">
        <v>1098</v>
      </c>
      <c r="D701" s="134"/>
      <c r="E701" s="88">
        <f t="shared" si="0"/>
        <v>0</v>
      </c>
      <c r="F701" s="90"/>
      <c r="G701" s="92">
        <f t="shared" si="1"/>
        <v>0</v>
      </c>
      <c r="H701" s="82" t="s">
        <v>52</v>
      </c>
      <c r="I701" s="94" t="s">
        <v>51</v>
      </c>
    </row>
    <row r="702" spans="1:9" ht="12.75" x14ac:dyDescent="0.2">
      <c r="A702" s="78">
        <v>123142009</v>
      </c>
      <c r="B702" s="80" t="s">
        <v>14</v>
      </c>
      <c r="C702" s="82" t="s">
        <v>1099</v>
      </c>
      <c r="D702" s="134"/>
      <c r="E702" s="88">
        <f t="shared" si="0"/>
        <v>0</v>
      </c>
      <c r="F702" s="90"/>
      <c r="G702" s="88">
        <f t="shared" si="1"/>
        <v>0</v>
      </c>
      <c r="H702" s="82" t="s">
        <v>50</v>
      </c>
      <c r="I702" s="94" t="s">
        <v>51</v>
      </c>
    </row>
    <row r="703" spans="1:9" ht="12.75" x14ac:dyDescent="0.2">
      <c r="A703" s="78">
        <v>123142009</v>
      </c>
      <c r="B703" s="80" t="s">
        <v>14</v>
      </c>
      <c r="C703" s="82" t="s">
        <v>1100</v>
      </c>
      <c r="D703" s="134"/>
      <c r="E703" s="88">
        <f t="shared" si="0"/>
        <v>0</v>
      </c>
      <c r="F703" s="90"/>
      <c r="G703" s="92">
        <f t="shared" si="1"/>
        <v>0</v>
      </c>
      <c r="H703" s="82" t="s">
        <v>52</v>
      </c>
      <c r="I703" s="94" t="s">
        <v>51</v>
      </c>
    </row>
    <row r="704" spans="1:9" ht="12.75" x14ac:dyDescent="0.2">
      <c r="A704" s="78">
        <v>123142009</v>
      </c>
      <c r="B704" s="80" t="s">
        <v>14</v>
      </c>
      <c r="C704" s="82" t="s">
        <v>1101</v>
      </c>
      <c r="D704" s="134"/>
      <c r="E704" s="88">
        <f t="shared" si="0"/>
        <v>0</v>
      </c>
      <c r="F704" s="90"/>
      <c r="G704" s="92">
        <f t="shared" si="1"/>
        <v>0</v>
      </c>
      <c r="H704" s="82" t="s">
        <v>52</v>
      </c>
      <c r="I704" s="94" t="s">
        <v>51</v>
      </c>
    </row>
    <row r="705" spans="1:9" ht="12.75" x14ac:dyDescent="0.2">
      <c r="A705" s="78">
        <v>123142009</v>
      </c>
      <c r="B705" s="80" t="s">
        <v>14</v>
      </c>
      <c r="C705" s="82" t="s">
        <v>1102</v>
      </c>
      <c r="D705" s="134"/>
      <c r="E705" s="88">
        <f t="shared" si="0"/>
        <v>0</v>
      </c>
      <c r="F705" s="90"/>
      <c r="G705" s="92">
        <f t="shared" si="1"/>
        <v>0</v>
      </c>
      <c r="H705" s="82" t="s">
        <v>52</v>
      </c>
      <c r="I705" s="94" t="s">
        <v>51</v>
      </c>
    </row>
    <row r="706" spans="1:9" ht="12.75" x14ac:dyDescent="0.2">
      <c r="A706" s="78">
        <v>123142009</v>
      </c>
      <c r="B706" s="80" t="s">
        <v>14</v>
      </c>
      <c r="C706" s="82" t="s">
        <v>1103</v>
      </c>
      <c r="D706" s="134"/>
      <c r="E706" s="88">
        <f t="shared" si="0"/>
        <v>0</v>
      </c>
      <c r="F706" s="90"/>
      <c r="G706" s="88">
        <f t="shared" si="1"/>
        <v>0</v>
      </c>
      <c r="H706" s="82" t="s">
        <v>50</v>
      </c>
      <c r="I706" s="94" t="s">
        <v>51</v>
      </c>
    </row>
    <row r="707" spans="1:9" ht="12.75" x14ac:dyDescent="0.2">
      <c r="A707" s="78">
        <v>123142009</v>
      </c>
      <c r="B707" s="80" t="s">
        <v>14</v>
      </c>
      <c r="C707" s="82" t="s">
        <v>1104</v>
      </c>
      <c r="D707" s="134"/>
      <c r="E707" s="88">
        <f t="shared" si="0"/>
        <v>0</v>
      </c>
      <c r="F707" s="90"/>
      <c r="G707" s="92">
        <f t="shared" si="1"/>
        <v>0</v>
      </c>
      <c r="H707" s="82" t="s">
        <v>52</v>
      </c>
      <c r="I707" s="94" t="s">
        <v>51</v>
      </c>
    </row>
    <row r="708" spans="1:9" ht="12.75" x14ac:dyDescent="0.2">
      <c r="A708" s="78">
        <v>123142009</v>
      </c>
      <c r="B708" s="80" t="s">
        <v>14</v>
      </c>
      <c r="C708" s="82" t="s">
        <v>1105</v>
      </c>
      <c r="D708" s="134"/>
      <c r="E708" s="88">
        <f t="shared" si="0"/>
        <v>0</v>
      </c>
      <c r="F708" s="90"/>
      <c r="G708" s="92">
        <f t="shared" si="1"/>
        <v>0</v>
      </c>
      <c r="H708" s="82" t="s">
        <v>52</v>
      </c>
      <c r="I708" s="94" t="s">
        <v>51</v>
      </c>
    </row>
    <row r="709" spans="1:9" ht="12.75" x14ac:dyDescent="0.2">
      <c r="A709" s="19">
        <v>123142009</v>
      </c>
      <c r="B709" s="20" t="s">
        <v>14</v>
      </c>
      <c r="C709" s="21" t="s">
        <v>1106</v>
      </c>
      <c r="D709" s="22"/>
      <c r="E709" s="103">
        <f t="shared" si="0"/>
        <v>0</v>
      </c>
      <c r="F709" s="24"/>
      <c r="G709" s="105">
        <f t="shared" si="1"/>
        <v>0</v>
      </c>
      <c r="H709" s="21" t="s">
        <v>52</v>
      </c>
      <c r="I709" s="107" t="s">
        <v>51</v>
      </c>
    </row>
    <row r="710" spans="1:9" ht="12.75" x14ac:dyDescent="0.2">
      <c r="A710" s="12">
        <v>27062005</v>
      </c>
      <c r="B710" s="13" t="s">
        <v>14</v>
      </c>
      <c r="C710" s="14" t="s">
        <v>1107</v>
      </c>
      <c r="D710" s="100"/>
      <c r="E710" s="46">
        <f t="shared" si="0"/>
        <v>0</v>
      </c>
      <c r="F710" s="17"/>
      <c r="G710" s="46">
        <f t="shared" si="1"/>
        <v>0</v>
      </c>
      <c r="H710" s="14" t="s">
        <v>315</v>
      </c>
      <c r="I710" s="119" t="s">
        <v>51</v>
      </c>
    </row>
    <row r="711" spans="1:9" ht="12.75" x14ac:dyDescent="0.2">
      <c r="A711" s="78">
        <v>27062005</v>
      </c>
      <c r="B711" s="80" t="s">
        <v>14</v>
      </c>
      <c r="C711" s="82" t="s">
        <v>1108</v>
      </c>
      <c r="D711" s="28"/>
      <c r="E711" s="88">
        <f t="shared" si="0"/>
        <v>0</v>
      </c>
      <c r="F711" s="90"/>
      <c r="G711" s="88">
        <f t="shared" si="1"/>
        <v>0</v>
      </c>
      <c r="H711" s="82" t="s">
        <v>315</v>
      </c>
      <c r="I711" s="94" t="s">
        <v>51</v>
      </c>
    </row>
    <row r="712" spans="1:9" ht="12.75" x14ac:dyDescent="0.2">
      <c r="A712" s="78">
        <v>27062005</v>
      </c>
      <c r="B712" s="80" t="s">
        <v>14</v>
      </c>
      <c r="C712" s="82" t="s">
        <v>1109</v>
      </c>
      <c r="D712" s="28"/>
      <c r="E712" s="88">
        <f t="shared" si="0"/>
        <v>0</v>
      </c>
      <c r="F712" s="90"/>
      <c r="G712" s="88">
        <f t="shared" si="1"/>
        <v>0</v>
      </c>
      <c r="H712" s="82" t="s">
        <v>315</v>
      </c>
      <c r="I712" s="94" t="s">
        <v>51</v>
      </c>
    </row>
    <row r="713" spans="1:9" ht="12.75" x14ac:dyDescent="0.2">
      <c r="A713" s="78">
        <v>27062005</v>
      </c>
      <c r="B713" s="80" t="s">
        <v>14</v>
      </c>
      <c r="C713" s="82" t="s">
        <v>1110</v>
      </c>
      <c r="D713" s="28"/>
      <c r="E713" s="88">
        <f t="shared" si="0"/>
        <v>0</v>
      </c>
      <c r="F713" s="90"/>
      <c r="G713" s="88">
        <f t="shared" si="1"/>
        <v>0</v>
      </c>
      <c r="H713" s="82" t="s">
        <v>315</v>
      </c>
      <c r="I713" s="94" t="s">
        <v>51</v>
      </c>
    </row>
    <row r="714" spans="1:9" ht="12.75" x14ac:dyDescent="0.2">
      <c r="A714" s="247">
        <v>27062005</v>
      </c>
      <c r="B714" s="248" t="s">
        <v>14</v>
      </c>
      <c r="C714" s="212" t="s">
        <v>1111</v>
      </c>
      <c r="D714" s="220"/>
      <c r="E714" s="214">
        <f t="shared" si="0"/>
        <v>0</v>
      </c>
      <c r="F714" s="215"/>
      <c r="G714" s="214">
        <f t="shared" si="1"/>
        <v>0</v>
      </c>
      <c r="H714" s="212" t="s">
        <v>315</v>
      </c>
      <c r="I714" s="249" t="s">
        <v>51</v>
      </c>
    </row>
    <row r="715" spans="1:9" ht="12.75" x14ac:dyDescent="0.2">
      <c r="A715" s="44">
        <v>26672005</v>
      </c>
      <c r="B715" s="13" t="s">
        <v>14</v>
      </c>
      <c r="C715" s="14" t="s">
        <v>1112</v>
      </c>
      <c r="D715" s="100"/>
      <c r="E715" s="46">
        <f t="shared" si="0"/>
        <v>0</v>
      </c>
      <c r="F715" s="144"/>
      <c r="G715" s="16">
        <f t="shared" si="1"/>
        <v>0</v>
      </c>
      <c r="H715" s="172" t="s">
        <v>52</v>
      </c>
      <c r="I715" s="119" t="s">
        <v>51</v>
      </c>
    </row>
    <row r="716" spans="1:9" ht="12.75" x14ac:dyDescent="0.2">
      <c r="A716" s="51">
        <v>26672005</v>
      </c>
      <c r="B716" s="31" t="s">
        <v>14</v>
      </c>
      <c r="C716" s="53" t="s">
        <v>1113</v>
      </c>
      <c r="D716" s="33"/>
      <c r="E716" s="56">
        <f t="shared" si="0"/>
        <v>0</v>
      </c>
      <c r="F716" s="35"/>
      <c r="G716" s="34">
        <f t="shared" si="1"/>
        <v>0</v>
      </c>
      <c r="H716" s="32" t="s">
        <v>52</v>
      </c>
      <c r="I716" s="128" t="s">
        <v>51</v>
      </c>
    </row>
    <row r="717" spans="1:9" ht="12.75" x14ac:dyDescent="0.2">
      <c r="A717" s="51">
        <v>26672005</v>
      </c>
      <c r="B717" s="31" t="s">
        <v>14</v>
      </c>
      <c r="C717" s="53" t="s">
        <v>1114</v>
      </c>
      <c r="D717" s="33"/>
      <c r="E717" s="56">
        <f t="shared" si="0"/>
        <v>0</v>
      </c>
      <c r="F717" s="35"/>
      <c r="G717" s="34">
        <f t="shared" si="1"/>
        <v>0</v>
      </c>
      <c r="H717" s="32" t="s">
        <v>52</v>
      </c>
      <c r="I717" s="128" t="s">
        <v>51</v>
      </c>
    </row>
    <row r="718" spans="1:9" ht="12.75" x14ac:dyDescent="0.2">
      <c r="A718" s="51">
        <v>26672005</v>
      </c>
      <c r="B718" s="31" t="s">
        <v>14</v>
      </c>
      <c r="C718" s="53" t="s">
        <v>1115</v>
      </c>
      <c r="D718" s="33"/>
      <c r="E718" s="56">
        <f t="shared" si="0"/>
        <v>0</v>
      </c>
      <c r="F718" s="35"/>
      <c r="G718" s="34">
        <f t="shared" si="1"/>
        <v>0</v>
      </c>
      <c r="H718" s="32" t="s">
        <v>52</v>
      </c>
      <c r="I718" s="128" t="s">
        <v>51</v>
      </c>
    </row>
    <row r="719" spans="1:9" ht="12.75" x14ac:dyDescent="0.2">
      <c r="A719" s="68">
        <v>26672005</v>
      </c>
      <c r="B719" s="175" t="s">
        <v>14</v>
      </c>
      <c r="C719" s="65" t="s">
        <v>1116</v>
      </c>
      <c r="D719" s="153"/>
      <c r="E719" s="69">
        <f t="shared" si="0"/>
        <v>0</v>
      </c>
      <c r="F719" s="155"/>
      <c r="G719" s="154">
        <f t="shared" si="1"/>
        <v>0</v>
      </c>
      <c r="H719" s="176" t="s">
        <v>52</v>
      </c>
      <c r="I719" s="132" t="s">
        <v>51</v>
      </c>
    </row>
    <row r="720" spans="1:9" ht="12.75" x14ac:dyDescent="0.2">
      <c r="A720" s="145">
        <v>3032005</v>
      </c>
      <c r="B720" s="6" t="s">
        <v>14</v>
      </c>
      <c r="C720" s="146" t="s">
        <v>1117</v>
      </c>
      <c r="D720" s="147">
        <v>5174.66</v>
      </c>
      <c r="E720" s="113">
        <f t="shared" si="0"/>
        <v>517.46600000000001</v>
      </c>
      <c r="F720" s="142"/>
      <c r="G720" s="9">
        <f t="shared" si="1"/>
        <v>0</v>
      </c>
      <c r="H720" s="146" t="s">
        <v>52</v>
      </c>
      <c r="I720" s="111" t="s">
        <v>51</v>
      </c>
    </row>
    <row r="721" spans="1:9" ht="12.75" x14ac:dyDescent="0.2">
      <c r="A721" s="44">
        <v>181512006</v>
      </c>
      <c r="B721" s="13" t="s">
        <v>14</v>
      </c>
      <c r="C721" s="14" t="s">
        <v>1118</v>
      </c>
      <c r="D721" s="100"/>
      <c r="E721" s="46">
        <f t="shared" si="0"/>
        <v>0</v>
      </c>
      <c r="F721" s="144"/>
      <c r="G721" s="16">
        <f t="shared" si="1"/>
        <v>0</v>
      </c>
      <c r="H721" s="14" t="s">
        <v>52</v>
      </c>
      <c r="I721" s="119" t="s">
        <v>51</v>
      </c>
    </row>
    <row r="722" spans="1:9" ht="12.75" x14ac:dyDescent="0.2">
      <c r="A722" s="51">
        <v>181512006</v>
      </c>
      <c r="B722" s="55" t="s">
        <v>14</v>
      </c>
      <c r="C722" s="53" t="s">
        <v>1119</v>
      </c>
      <c r="D722" s="33"/>
      <c r="E722" s="56">
        <f t="shared" si="0"/>
        <v>0</v>
      </c>
      <c r="F722" s="35"/>
      <c r="G722" s="34">
        <f t="shared" si="1"/>
        <v>0</v>
      </c>
      <c r="H722" s="53" t="s">
        <v>52</v>
      </c>
      <c r="I722" s="128" t="s">
        <v>51</v>
      </c>
    </row>
    <row r="723" spans="1:9" ht="12.75" x14ac:dyDescent="0.2">
      <c r="A723" s="51">
        <v>181512006</v>
      </c>
      <c r="B723" s="55" t="s">
        <v>14</v>
      </c>
      <c r="C723" s="53" t="s">
        <v>1120</v>
      </c>
      <c r="D723" s="33"/>
      <c r="E723" s="56">
        <f t="shared" si="0"/>
        <v>0</v>
      </c>
      <c r="F723" s="35"/>
      <c r="G723" s="34">
        <f t="shared" si="1"/>
        <v>0</v>
      </c>
      <c r="H723" s="53" t="s">
        <v>50</v>
      </c>
      <c r="I723" s="128" t="s">
        <v>51</v>
      </c>
    </row>
    <row r="724" spans="1:9" ht="12.75" x14ac:dyDescent="0.2">
      <c r="A724" s="51">
        <v>181512006</v>
      </c>
      <c r="B724" s="55" t="s">
        <v>14</v>
      </c>
      <c r="C724" s="53" t="s">
        <v>1121</v>
      </c>
      <c r="D724" s="33"/>
      <c r="E724" s="56">
        <f t="shared" si="0"/>
        <v>0</v>
      </c>
      <c r="F724" s="35"/>
      <c r="G724" s="34">
        <f t="shared" si="1"/>
        <v>0</v>
      </c>
      <c r="H724" s="53" t="s">
        <v>52</v>
      </c>
      <c r="I724" s="128" t="s">
        <v>51</v>
      </c>
    </row>
    <row r="725" spans="1:9" ht="12.75" x14ac:dyDescent="0.2">
      <c r="A725" s="51">
        <v>181512006</v>
      </c>
      <c r="B725" s="55" t="s">
        <v>14</v>
      </c>
      <c r="C725" s="53" t="s">
        <v>1122</v>
      </c>
      <c r="D725" s="33"/>
      <c r="E725" s="56">
        <f t="shared" si="0"/>
        <v>0</v>
      </c>
      <c r="F725" s="35"/>
      <c r="G725" s="34">
        <f t="shared" si="1"/>
        <v>0</v>
      </c>
      <c r="H725" s="53" t="s">
        <v>52</v>
      </c>
      <c r="I725" s="128" t="s">
        <v>51</v>
      </c>
    </row>
    <row r="726" spans="1:9" ht="12.75" x14ac:dyDescent="0.2">
      <c r="A726" s="51">
        <v>181512006</v>
      </c>
      <c r="B726" s="55" t="s">
        <v>14</v>
      </c>
      <c r="C726" s="53" t="s">
        <v>1123</v>
      </c>
      <c r="D726" s="33"/>
      <c r="E726" s="56">
        <f t="shared" si="0"/>
        <v>0</v>
      </c>
      <c r="F726" s="35"/>
      <c r="G726" s="34">
        <f t="shared" si="1"/>
        <v>0</v>
      </c>
      <c r="H726" s="53" t="s">
        <v>50</v>
      </c>
      <c r="I726" s="128" t="s">
        <v>51</v>
      </c>
    </row>
    <row r="727" spans="1:9" ht="12.75" x14ac:dyDescent="0.2">
      <c r="A727" s="51">
        <v>181512006</v>
      </c>
      <c r="B727" s="55" t="s">
        <v>14</v>
      </c>
      <c r="C727" s="53" t="s">
        <v>1124</v>
      </c>
      <c r="D727" s="33"/>
      <c r="E727" s="56">
        <f t="shared" si="0"/>
        <v>0</v>
      </c>
      <c r="F727" s="35"/>
      <c r="G727" s="34">
        <f t="shared" si="1"/>
        <v>0</v>
      </c>
      <c r="H727" s="53" t="s">
        <v>52</v>
      </c>
      <c r="I727" s="128" t="s">
        <v>51</v>
      </c>
    </row>
    <row r="728" spans="1:9" ht="12.75" x14ac:dyDescent="0.2">
      <c r="A728" s="51">
        <v>181512006</v>
      </c>
      <c r="B728" s="55" t="s">
        <v>14</v>
      </c>
      <c r="C728" s="53" t="s">
        <v>1125</v>
      </c>
      <c r="D728" s="33"/>
      <c r="E728" s="56">
        <f t="shared" si="0"/>
        <v>0</v>
      </c>
      <c r="F728" s="35"/>
      <c r="G728" s="34">
        <f t="shared" si="1"/>
        <v>0</v>
      </c>
      <c r="H728" s="53" t="s">
        <v>52</v>
      </c>
      <c r="I728" s="128" t="s">
        <v>51</v>
      </c>
    </row>
    <row r="729" spans="1:9" ht="12.75" x14ac:dyDescent="0.2">
      <c r="A729" s="51">
        <v>181512006</v>
      </c>
      <c r="B729" s="55" t="s">
        <v>14</v>
      </c>
      <c r="C729" s="53" t="s">
        <v>1126</v>
      </c>
      <c r="D729" s="33"/>
      <c r="E729" s="56">
        <f t="shared" si="0"/>
        <v>0</v>
      </c>
      <c r="F729" s="35"/>
      <c r="G729" s="34">
        <f t="shared" si="1"/>
        <v>0</v>
      </c>
      <c r="H729" s="53" t="s">
        <v>52</v>
      </c>
      <c r="I729" s="128" t="s">
        <v>51</v>
      </c>
    </row>
    <row r="730" spans="1:9" ht="12.75" x14ac:dyDescent="0.2">
      <c r="A730" s="51">
        <v>181512006</v>
      </c>
      <c r="B730" s="55" t="s">
        <v>14</v>
      </c>
      <c r="C730" s="53" t="s">
        <v>1127</v>
      </c>
      <c r="D730" s="33"/>
      <c r="E730" s="56">
        <f t="shared" si="0"/>
        <v>0</v>
      </c>
      <c r="F730" s="35"/>
      <c r="G730" s="34">
        <f t="shared" si="1"/>
        <v>0</v>
      </c>
      <c r="H730" s="53" t="s">
        <v>52</v>
      </c>
      <c r="I730" s="128" t="s">
        <v>51</v>
      </c>
    </row>
    <row r="731" spans="1:9" ht="12.75" x14ac:dyDescent="0.2">
      <c r="A731" s="51">
        <v>181512006</v>
      </c>
      <c r="B731" s="55" t="s">
        <v>14</v>
      </c>
      <c r="C731" s="53" t="s">
        <v>1128</v>
      </c>
      <c r="D731" s="33"/>
      <c r="E731" s="56">
        <f t="shared" si="0"/>
        <v>0</v>
      </c>
      <c r="F731" s="35"/>
      <c r="G731" s="34">
        <f t="shared" si="1"/>
        <v>0</v>
      </c>
      <c r="H731" s="53" t="s">
        <v>52</v>
      </c>
      <c r="I731" s="128" t="s">
        <v>51</v>
      </c>
    </row>
    <row r="732" spans="1:9" ht="12.75" x14ac:dyDescent="0.2">
      <c r="A732" s="51">
        <v>181512006</v>
      </c>
      <c r="B732" s="55" t="s">
        <v>14</v>
      </c>
      <c r="C732" s="53" t="s">
        <v>1129</v>
      </c>
      <c r="D732" s="33"/>
      <c r="E732" s="56">
        <f t="shared" si="0"/>
        <v>0</v>
      </c>
      <c r="F732" s="35"/>
      <c r="G732" s="34">
        <f t="shared" si="1"/>
        <v>0</v>
      </c>
      <c r="H732" s="53" t="s">
        <v>52</v>
      </c>
      <c r="I732" s="128" t="s">
        <v>51</v>
      </c>
    </row>
    <row r="733" spans="1:9" ht="12.75" x14ac:dyDescent="0.2">
      <c r="A733" s="51">
        <v>181512006</v>
      </c>
      <c r="B733" s="55" t="s">
        <v>14</v>
      </c>
      <c r="C733" s="53" t="s">
        <v>1130</v>
      </c>
      <c r="D733" s="33"/>
      <c r="E733" s="56">
        <f t="shared" si="0"/>
        <v>0</v>
      </c>
      <c r="F733" s="35"/>
      <c r="G733" s="34">
        <f t="shared" si="1"/>
        <v>0</v>
      </c>
      <c r="H733" s="53" t="s">
        <v>50</v>
      </c>
      <c r="I733" s="128" t="s">
        <v>51</v>
      </c>
    </row>
    <row r="734" spans="1:9" ht="12.75" x14ac:dyDescent="0.2">
      <c r="A734" s="51">
        <v>181512006</v>
      </c>
      <c r="B734" s="55" t="s">
        <v>14</v>
      </c>
      <c r="C734" s="53" t="s">
        <v>1131</v>
      </c>
      <c r="D734" s="33"/>
      <c r="E734" s="56">
        <f t="shared" si="0"/>
        <v>0</v>
      </c>
      <c r="F734" s="35"/>
      <c r="G734" s="34">
        <f t="shared" si="1"/>
        <v>0</v>
      </c>
      <c r="H734" s="53" t="s">
        <v>52</v>
      </c>
      <c r="I734" s="128" t="s">
        <v>51</v>
      </c>
    </row>
    <row r="735" spans="1:9" ht="12.75" x14ac:dyDescent="0.2">
      <c r="A735" s="68">
        <v>181512006</v>
      </c>
      <c r="B735" s="70" t="s">
        <v>14</v>
      </c>
      <c r="C735" s="65" t="s">
        <v>1132</v>
      </c>
      <c r="D735" s="153"/>
      <c r="E735" s="69">
        <f t="shared" si="0"/>
        <v>0</v>
      </c>
      <c r="F735" s="155"/>
      <c r="G735" s="154">
        <f t="shared" si="1"/>
        <v>0</v>
      </c>
      <c r="H735" s="65" t="s">
        <v>52</v>
      </c>
      <c r="I735" s="132" t="s">
        <v>51</v>
      </c>
    </row>
    <row r="736" spans="1:9" ht="12.75" x14ac:dyDescent="0.2">
      <c r="A736" s="12">
        <v>47942005</v>
      </c>
      <c r="B736" s="13" t="s">
        <v>14</v>
      </c>
      <c r="C736" s="14" t="s">
        <v>1133</v>
      </c>
      <c r="D736" s="15"/>
      <c r="E736" s="46">
        <f t="shared" si="0"/>
        <v>0</v>
      </c>
      <c r="F736" s="17"/>
      <c r="G736" s="46">
        <f t="shared" si="1"/>
        <v>0</v>
      </c>
      <c r="H736" s="14" t="s">
        <v>50</v>
      </c>
      <c r="I736" s="119" t="s">
        <v>51</v>
      </c>
    </row>
    <row r="737" spans="1:9" ht="12.75" x14ac:dyDescent="0.2">
      <c r="A737" s="78">
        <v>47942005</v>
      </c>
      <c r="B737" s="80" t="s">
        <v>14</v>
      </c>
      <c r="C737" s="82" t="s">
        <v>1134</v>
      </c>
      <c r="D737" s="134"/>
      <c r="E737" s="88">
        <f t="shared" si="0"/>
        <v>0</v>
      </c>
      <c r="F737" s="90"/>
      <c r="G737" s="88">
        <f t="shared" si="1"/>
        <v>0</v>
      </c>
      <c r="H737" s="82" t="s">
        <v>50</v>
      </c>
      <c r="I737" s="94" t="s">
        <v>51</v>
      </c>
    </row>
    <row r="738" spans="1:9" ht="12.75" x14ac:dyDescent="0.2">
      <c r="A738" s="78">
        <v>47942005</v>
      </c>
      <c r="B738" s="80" t="s">
        <v>14</v>
      </c>
      <c r="C738" s="82" t="s">
        <v>1135</v>
      </c>
      <c r="D738" s="134"/>
      <c r="E738" s="88">
        <f t="shared" si="0"/>
        <v>0</v>
      </c>
      <c r="F738" s="90"/>
      <c r="G738" s="88">
        <f t="shared" si="1"/>
        <v>0</v>
      </c>
      <c r="H738" s="82" t="s">
        <v>50</v>
      </c>
      <c r="I738" s="94" t="s">
        <v>51</v>
      </c>
    </row>
    <row r="739" spans="1:9" ht="12.75" x14ac:dyDescent="0.2">
      <c r="A739" s="78">
        <v>47942005</v>
      </c>
      <c r="B739" s="80" t="s">
        <v>14</v>
      </c>
      <c r="C739" s="82" t="s">
        <v>1136</v>
      </c>
      <c r="D739" s="134"/>
      <c r="E739" s="88">
        <f t="shared" si="0"/>
        <v>0</v>
      </c>
      <c r="F739" s="90"/>
      <c r="G739" s="88">
        <f t="shared" si="1"/>
        <v>0</v>
      </c>
      <c r="H739" s="82" t="s">
        <v>50</v>
      </c>
      <c r="I739" s="94" t="s">
        <v>51</v>
      </c>
    </row>
    <row r="740" spans="1:9" ht="12.75" x14ac:dyDescent="0.2">
      <c r="A740" s="78">
        <v>47942005</v>
      </c>
      <c r="B740" s="80" t="s">
        <v>14</v>
      </c>
      <c r="C740" s="82" t="s">
        <v>1137</v>
      </c>
      <c r="D740" s="134"/>
      <c r="E740" s="88">
        <f t="shared" si="0"/>
        <v>0</v>
      </c>
      <c r="F740" s="90"/>
      <c r="G740" s="88">
        <f t="shared" si="1"/>
        <v>0</v>
      </c>
      <c r="H740" s="82" t="s">
        <v>50</v>
      </c>
      <c r="I740" s="94" t="s">
        <v>51</v>
      </c>
    </row>
    <row r="741" spans="1:9" ht="12.75" x14ac:dyDescent="0.2">
      <c r="A741" s="19">
        <v>47942005</v>
      </c>
      <c r="B741" s="20" t="s">
        <v>14</v>
      </c>
      <c r="C741" s="21" t="s">
        <v>1138</v>
      </c>
      <c r="D741" s="22"/>
      <c r="E741" s="103">
        <f t="shared" si="0"/>
        <v>0</v>
      </c>
      <c r="F741" s="24"/>
      <c r="G741" s="103">
        <f t="shared" si="1"/>
        <v>0</v>
      </c>
      <c r="H741" s="21" t="s">
        <v>50</v>
      </c>
      <c r="I741" s="107" t="s">
        <v>51</v>
      </c>
    </row>
    <row r="742" spans="1:9" ht="12.75" x14ac:dyDescent="0.2">
      <c r="A742" s="12">
        <v>165862002</v>
      </c>
      <c r="B742" s="13" t="s">
        <v>13</v>
      </c>
      <c r="C742" s="14" t="s">
        <v>1139</v>
      </c>
      <c r="D742" s="15"/>
      <c r="E742" s="46">
        <f t="shared" si="0"/>
        <v>0</v>
      </c>
      <c r="F742" s="17"/>
      <c r="G742" s="46">
        <f t="shared" si="1"/>
        <v>0</v>
      </c>
      <c r="H742" s="14" t="s">
        <v>50</v>
      </c>
      <c r="I742" s="119" t="s">
        <v>51</v>
      </c>
    </row>
    <row r="743" spans="1:9" ht="12.75" x14ac:dyDescent="0.2">
      <c r="A743" s="19">
        <v>165862002</v>
      </c>
      <c r="B743" s="250" t="s">
        <v>13</v>
      </c>
      <c r="C743" s="21" t="s">
        <v>1140</v>
      </c>
      <c r="D743" s="22"/>
      <c r="E743" s="103">
        <f t="shared" si="0"/>
        <v>0</v>
      </c>
      <c r="F743" s="24"/>
      <c r="G743" s="103">
        <f t="shared" si="1"/>
        <v>0</v>
      </c>
      <c r="H743" s="21" t="s">
        <v>50</v>
      </c>
      <c r="I743" s="107" t="s">
        <v>51</v>
      </c>
    </row>
    <row r="744" spans="1:9" ht="12.75" x14ac:dyDescent="0.2">
      <c r="A744" s="12">
        <v>140232009</v>
      </c>
      <c r="B744" s="117"/>
      <c r="C744" s="14" t="s">
        <v>1141</v>
      </c>
      <c r="D744" s="100"/>
      <c r="E744" s="46">
        <f t="shared" si="0"/>
        <v>0</v>
      </c>
      <c r="F744" s="17"/>
      <c r="G744" s="46">
        <f t="shared" si="1"/>
        <v>0</v>
      </c>
      <c r="H744" s="14" t="s">
        <v>37</v>
      </c>
      <c r="I744" s="119" t="s">
        <v>51</v>
      </c>
    </row>
    <row r="745" spans="1:9" ht="12.75" x14ac:dyDescent="0.2">
      <c r="A745" s="251">
        <v>140232009</v>
      </c>
      <c r="B745" s="252"/>
      <c r="C745" s="53" t="s">
        <v>1142</v>
      </c>
      <c r="D745" s="33"/>
      <c r="E745" s="56">
        <f t="shared" si="0"/>
        <v>0</v>
      </c>
      <c r="F745" s="57"/>
      <c r="G745" s="56">
        <f t="shared" si="1"/>
        <v>0</v>
      </c>
      <c r="H745" s="126" t="s">
        <v>37</v>
      </c>
      <c r="I745" s="128" t="s">
        <v>51</v>
      </c>
    </row>
    <row r="746" spans="1:9" ht="12.75" x14ac:dyDescent="0.2">
      <c r="A746" s="251">
        <v>140232009</v>
      </c>
      <c r="B746" s="252"/>
      <c r="C746" s="53" t="s">
        <v>1143</v>
      </c>
      <c r="D746" s="33"/>
      <c r="E746" s="56">
        <f t="shared" si="0"/>
        <v>0</v>
      </c>
      <c r="F746" s="57"/>
      <c r="G746" s="56">
        <f t="shared" si="1"/>
        <v>0</v>
      </c>
      <c r="H746" s="126" t="s">
        <v>37</v>
      </c>
      <c r="I746" s="128" t="s">
        <v>51</v>
      </c>
    </row>
    <row r="747" spans="1:9" ht="12.75" x14ac:dyDescent="0.2">
      <c r="A747" s="251">
        <v>140232009</v>
      </c>
      <c r="B747" s="252"/>
      <c r="C747" s="53" t="s">
        <v>1144</v>
      </c>
      <c r="D747" s="33"/>
      <c r="E747" s="56">
        <f t="shared" si="0"/>
        <v>0</v>
      </c>
      <c r="F747" s="57"/>
      <c r="G747" s="56">
        <f t="shared" si="1"/>
        <v>0</v>
      </c>
      <c r="H747" s="126" t="s">
        <v>37</v>
      </c>
      <c r="I747" s="128" t="s">
        <v>51</v>
      </c>
    </row>
    <row r="748" spans="1:9" ht="12.75" x14ac:dyDescent="0.2">
      <c r="A748" s="251">
        <v>140232009</v>
      </c>
      <c r="B748" s="252"/>
      <c r="C748" s="53" t="s">
        <v>1145</v>
      </c>
      <c r="D748" s="33"/>
      <c r="E748" s="56">
        <f t="shared" si="0"/>
        <v>0</v>
      </c>
      <c r="F748" s="57"/>
      <c r="G748" s="56">
        <f t="shared" si="1"/>
        <v>0</v>
      </c>
      <c r="H748" s="126" t="s">
        <v>37</v>
      </c>
      <c r="I748" s="128" t="s">
        <v>51</v>
      </c>
    </row>
    <row r="749" spans="1:9" ht="12.75" x14ac:dyDescent="0.2">
      <c r="A749" s="251">
        <v>140232009</v>
      </c>
      <c r="B749" s="252"/>
      <c r="C749" s="53" t="s">
        <v>1146</v>
      </c>
      <c r="D749" s="33"/>
      <c r="E749" s="56">
        <f t="shared" si="0"/>
        <v>0</v>
      </c>
      <c r="F749" s="57"/>
      <c r="G749" s="56">
        <f t="shared" si="1"/>
        <v>0</v>
      </c>
      <c r="H749" s="126" t="s">
        <v>37</v>
      </c>
      <c r="I749" s="128" t="s">
        <v>51</v>
      </c>
    </row>
    <row r="750" spans="1:9" ht="12.75" x14ac:dyDescent="0.2">
      <c r="A750" s="251">
        <v>140232009</v>
      </c>
      <c r="B750" s="252"/>
      <c r="C750" s="53" t="s">
        <v>1147</v>
      </c>
      <c r="D750" s="33"/>
      <c r="E750" s="56">
        <f t="shared" si="0"/>
        <v>0</v>
      </c>
      <c r="F750" s="57"/>
      <c r="G750" s="56">
        <f t="shared" si="1"/>
        <v>0</v>
      </c>
      <c r="H750" s="126" t="s">
        <v>37</v>
      </c>
      <c r="I750" s="128" t="s">
        <v>51</v>
      </c>
    </row>
    <row r="751" spans="1:9" ht="12.75" x14ac:dyDescent="0.2">
      <c r="A751" s="251">
        <v>140232009</v>
      </c>
      <c r="B751" s="252"/>
      <c r="C751" s="53" t="s">
        <v>1148</v>
      </c>
      <c r="D751" s="33"/>
      <c r="E751" s="56">
        <f t="shared" si="0"/>
        <v>0</v>
      </c>
      <c r="F751" s="57"/>
      <c r="G751" s="56">
        <f t="shared" si="1"/>
        <v>0</v>
      </c>
      <c r="H751" s="126" t="s">
        <v>37</v>
      </c>
      <c r="I751" s="128" t="s">
        <v>51</v>
      </c>
    </row>
    <row r="752" spans="1:9" ht="12.75" x14ac:dyDescent="0.2">
      <c r="A752" s="251">
        <v>140232009</v>
      </c>
      <c r="B752" s="252"/>
      <c r="C752" s="53" t="s">
        <v>1149</v>
      </c>
      <c r="D752" s="33"/>
      <c r="E752" s="56">
        <f t="shared" si="0"/>
        <v>0</v>
      </c>
      <c r="F752" s="57"/>
      <c r="G752" s="56">
        <f t="shared" si="1"/>
        <v>0</v>
      </c>
      <c r="H752" s="126" t="s">
        <v>37</v>
      </c>
      <c r="I752" s="128" t="s">
        <v>51</v>
      </c>
    </row>
    <row r="753" spans="1:9" ht="12.75" x14ac:dyDescent="0.2">
      <c r="A753" s="251">
        <v>140232009</v>
      </c>
      <c r="B753" s="252"/>
      <c r="C753" s="53" t="s">
        <v>1150</v>
      </c>
      <c r="D753" s="33"/>
      <c r="E753" s="56">
        <f t="shared" si="0"/>
        <v>0</v>
      </c>
      <c r="F753" s="57"/>
      <c r="G753" s="56">
        <f t="shared" si="1"/>
        <v>0</v>
      </c>
      <c r="H753" s="126" t="s">
        <v>37</v>
      </c>
      <c r="I753" s="128" t="s">
        <v>51</v>
      </c>
    </row>
    <row r="754" spans="1:9" ht="12.75" x14ac:dyDescent="0.2">
      <c r="A754" s="251">
        <v>140232009</v>
      </c>
      <c r="B754" s="252"/>
      <c r="C754" s="53" t="s">
        <v>1151</v>
      </c>
      <c r="D754" s="33"/>
      <c r="E754" s="56">
        <f t="shared" si="0"/>
        <v>0</v>
      </c>
      <c r="F754" s="57"/>
      <c r="G754" s="56">
        <f t="shared" si="1"/>
        <v>0</v>
      </c>
      <c r="H754" s="126" t="s">
        <v>37</v>
      </c>
      <c r="I754" s="128" t="s">
        <v>51</v>
      </c>
    </row>
    <row r="755" spans="1:9" ht="12.75" x14ac:dyDescent="0.2">
      <c r="A755" s="251">
        <v>140232009</v>
      </c>
      <c r="B755" s="252"/>
      <c r="C755" s="53" t="s">
        <v>1152</v>
      </c>
      <c r="D755" s="33"/>
      <c r="E755" s="56">
        <f t="shared" si="0"/>
        <v>0</v>
      </c>
      <c r="F755" s="57"/>
      <c r="G755" s="56">
        <f t="shared" si="1"/>
        <v>0</v>
      </c>
      <c r="H755" s="126" t="s">
        <v>37</v>
      </c>
      <c r="I755" s="128" t="s">
        <v>51</v>
      </c>
    </row>
    <row r="756" spans="1:9" ht="12.75" x14ac:dyDescent="0.2">
      <c r="A756" s="251">
        <v>140232009</v>
      </c>
      <c r="B756" s="252"/>
      <c r="C756" s="53" t="s">
        <v>1153</v>
      </c>
      <c r="D756" s="33"/>
      <c r="E756" s="56">
        <f t="shared" si="0"/>
        <v>0</v>
      </c>
      <c r="F756" s="57"/>
      <c r="G756" s="56">
        <f t="shared" si="1"/>
        <v>0</v>
      </c>
      <c r="H756" s="126" t="s">
        <v>37</v>
      </c>
      <c r="I756" s="128" t="s">
        <v>51</v>
      </c>
    </row>
    <row r="757" spans="1:9" ht="12.75" x14ac:dyDescent="0.2">
      <c r="A757" s="251">
        <v>140232009</v>
      </c>
      <c r="B757" s="252"/>
      <c r="C757" s="53" t="s">
        <v>1154</v>
      </c>
      <c r="D757" s="33"/>
      <c r="E757" s="56">
        <f t="shared" si="0"/>
        <v>0</v>
      </c>
      <c r="F757" s="57"/>
      <c r="G757" s="56">
        <f t="shared" si="1"/>
        <v>0</v>
      </c>
      <c r="H757" s="126" t="s">
        <v>37</v>
      </c>
      <c r="I757" s="128" t="s">
        <v>51</v>
      </c>
    </row>
    <row r="758" spans="1:9" ht="12.75" x14ac:dyDescent="0.2">
      <c r="A758" s="253">
        <v>140232009</v>
      </c>
      <c r="B758" s="254"/>
      <c r="C758" s="79" t="s">
        <v>1155</v>
      </c>
      <c r="D758" s="218"/>
      <c r="E758" s="86">
        <f t="shared" si="0"/>
        <v>0</v>
      </c>
      <c r="F758" s="93"/>
      <c r="G758" s="86">
        <f t="shared" si="1"/>
        <v>0</v>
      </c>
      <c r="H758" s="255" t="s">
        <v>37</v>
      </c>
      <c r="I758" s="256" t="s">
        <v>51</v>
      </c>
    </row>
    <row r="759" spans="1:9" ht="12.75" x14ac:dyDescent="0.2">
      <c r="A759" s="12">
        <v>182692010</v>
      </c>
      <c r="B759" s="117"/>
      <c r="C759" s="14" t="s">
        <v>1156</v>
      </c>
      <c r="D759" s="100"/>
      <c r="E759" s="46">
        <f t="shared" si="0"/>
        <v>0</v>
      </c>
      <c r="F759" s="17"/>
      <c r="G759" s="46">
        <f t="shared" si="1"/>
        <v>0</v>
      </c>
      <c r="H759" s="14" t="s">
        <v>202</v>
      </c>
      <c r="I759" s="119" t="s">
        <v>51</v>
      </c>
    </row>
    <row r="760" spans="1:9" ht="12.75" x14ac:dyDescent="0.2">
      <c r="A760" s="251">
        <v>182692010</v>
      </c>
      <c r="B760" s="252"/>
      <c r="C760" s="53" t="s">
        <v>1157</v>
      </c>
      <c r="D760" s="33"/>
      <c r="E760" s="56">
        <f t="shared" si="0"/>
        <v>0</v>
      </c>
      <c r="F760" s="57"/>
      <c r="G760" s="56">
        <f t="shared" si="1"/>
        <v>0</v>
      </c>
      <c r="H760" s="126" t="s">
        <v>202</v>
      </c>
      <c r="I760" s="128" t="s">
        <v>51</v>
      </c>
    </row>
    <row r="761" spans="1:9" ht="12.75" x14ac:dyDescent="0.2">
      <c r="A761" s="251">
        <v>182692010</v>
      </c>
      <c r="B761" s="252"/>
      <c r="C761" s="53" t="s">
        <v>1158</v>
      </c>
      <c r="D761" s="33"/>
      <c r="E761" s="56">
        <f t="shared" si="0"/>
        <v>0</v>
      </c>
      <c r="F761" s="57"/>
      <c r="G761" s="56">
        <f t="shared" si="1"/>
        <v>0</v>
      </c>
      <c r="H761" s="126" t="s">
        <v>202</v>
      </c>
      <c r="I761" s="128" t="s">
        <v>51</v>
      </c>
    </row>
    <row r="762" spans="1:9" ht="12.75" x14ac:dyDescent="0.2">
      <c r="A762" s="251">
        <v>182692010</v>
      </c>
      <c r="B762" s="252"/>
      <c r="C762" s="53" t="s">
        <v>1159</v>
      </c>
      <c r="D762" s="33"/>
      <c r="E762" s="56">
        <f t="shared" si="0"/>
        <v>0</v>
      </c>
      <c r="F762" s="57"/>
      <c r="G762" s="56">
        <f t="shared" si="1"/>
        <v>0</v>
      </c>
      <c r="H762" s="126" t="s">
        <v>202</v>
      </c>
      <c r="I762" s="128" t="s">
        <v>51</v>
      </c>
    </row>
    <row r="763" spans="1:9" ht="12.75" x14ac:dyDescent="0.2">
      <c r="A763" s="251">
        <v>182692010</v>
      </c>
      <c r="B763" s="252"/>
      <c r="C763" s="53" t="s">
        <v>1160</v>
      </c>
      <c r="D763" s="33"/>
      <c r="E763" s="56">
        <f t="shared" si="0"/>
        <v>0</v>
      </c>
      <c r="F763" s="57"/>
      <c r="G763" s="56">
        <f t="shared" si="1"/>
        <v>0</v>
      </c>
      <c r="H763" s="126" t="s">
        <v>202</v>
      </c>
      <c r="I763" s="128" t="s">
        <v>51</v>
      </c>
    </row>
    <row r="764" spans="1:9" ht="12.75" x14ac:dyDescent="0.2">
      <c r="A764" s="251">
        <v>182692010</v>
      </c>
      <c r="B764" s="252"/>
      <c r="C764" s="53" t="s">
        <v>1161</v>
      </c>
      <c r="D764" s="33"/>
      <c r="E764" s="56">
        <f t="shared" si="0"/>
        <v>0</v>
      </c>
      <c r="F764" s="57"/>
      <c r="G764" s="56">
        <f t="shared" si="1"/>
        <v>0</v>
      </c>
      <c r="H764" s="126" t="s">
        <v>202</v>
      </c>
      <c r="I764" s="128" t="s">
        <v>51</v>
      </c>
    </row>
    <row r="765" spans="1:9" ht="12.75" x14ac:dyDescent="0.2">
      <c r="A765" s="251">
        <v>182692010</v>
      </c>
      <c r="B765" s="252"/>
      <c r="C765" s="53" t="s">
        <v>1162</v>
      </c>
      <c r="D765" s="33"/>
      <c r="E765" s="56">
        <f t="shared" si="0"/>
        <v>0</v>
      </c>
      <c r="F765" s="57"/>
      <c r="G765" s="56">
        <f t="shared" si="1"/>
        <v>0</v>
      </c>
      <c r="H765" s="126" t="s">
        <v>202</v>
      </c>
      <c r="I765" s="128" t="s">
        <v>51</v>
      </c>
    </row>
    <row r="766" spans="1:9" ht="12.75" x14ac:dyDescent="0.2">
      <c r="A766" s="251">
        <v>182692010</v>
      </c>
      <c r="B766" s="252"/>
      <c r="C766" s="53" t="s">
        <v>1163</v>
      </c>
      <c r="D766" s="33"/>
      <c r="E766" s="56">
        <f t="shared" si="0"/>
        <v>0</v>
      </c>
      <c r="F766" s="57"/>
      <c r="G766" s="56">
        <f t="shared" si="1"/>
        <v>0</v>
      </c>
      <c r="H766" s="126" t="s">
        <v>202</v>
      </c>
      <c r="I766" s="128" t="s">
        <v>51</v>
      </c>
    </row>
    <row r="767" spans="1:9" ht="12.75" x14ac:dyDescent="0.2">
      <c r="A767" s="251">
        <v>182692010</v>
      </c>
      <c r="B767" s="252"/>
      <c r="C767" s="53" t="s">
        <v>1164</v>
      </c>
      <c r="D767" s="33"/>
      <c r="E767" s="56">
        <f t="shared" si="0"/>
        <v>0</v>
      </c>
      <c r="F767" s="57"/>
      <c r="G767" s="56">
        <f t="shared" si="1"/>
        <v>0</v>
      </c>
      <c r="H767" s="126" t="s">
        <v>202</v>
      </c>
      <c r="I767" s="128" t="s">
        <v>51</v>
      </c>
    </row>
    <row r="768" spans="1:9" ht="12.75" x14ac:dyDescent="0.2">
      <c r="A768" s="251">
        <v>182692010</v>
      </c>
      <c r="B768" s="252"/>
      <c r="C768" s="53" t="s">
        <v>1165</v>
      </c>
      <c r="D768" s="33"/>
      <c r="E768" s="56">
        <f t="shared" si="0"/>
        <v>0</v>
      </c>
      <c r="F768" s="57"/>
      <c r="G768" s="56">
        <f t="shared" si="1"/>
        <v>0</v>
      </c>
      <c r="H768" s="126" t="s">
        <v>202</v>
      </c>
      <c r="I768" s="128" t="s">
        <v>51</v>
      </c>
    </row>
    <row r="769" spans="1:9" ht="12.75" x14ac:dyDescent="0.2">
      <c r="A769" s="251">
        <v>182692010</v>
      </c>
      <c r="B769" s="252"/>
      <c r="C769" s="53" t="s">
        <v>1166</v>
      </c>
      <c r="D769" s="33"/>
      <c r="E769" s="56">
        <f t="shared" si="0"/>
        <v>0</v>
      </c>
      <c r="F769" s="57"/>
      <c r="G769" s="56">
        <f t="shared" si="1"/>
        <v>0</v>
      </c>
      <c r="H769" s="126" t="s">
        <v>202</v>
      </c>
      <c r="I769" s="128" t="s">
        <v>51</v>
      </c>
    </row>
    <row r="770" spans="1:9" ht="12.75" x14ac:dyDescent="0.2">
      <c r="A770" s="251">
        <v>182692010</v>
      </c>
      <c r="B770" s="252"/>
      <c r="C770" s="53" t="s">
        <v>1167</v>
      </c>
      <c r="D770" s="33"/>
      <c r="E770" s="56">
        <f t="shared" si="0"/>
        <v>0</v>
      </c>
      <c r="F770" s="57"/>
      <c r="G770" s="56">
        <f t="shared" si="1"/>
        <v>0</v>
      </c>
      <c r="H770" s="126" t="s">
        <v>202</v>
      </c>
      <c r="I770" s="128" t="s">
        <v>51</v>
      </c>
    </row>
    <row r="771" spans="1:9" ht="12.75" x14ac:dyDescent="0.2">
      <c r="A771" s="251">
        <v>182692010</v>
      </c>
      <c r="B771" s="252"/>
      <c r="C771" s="53" t="s">
        <v>1168</v>
      </c>
      <c r="D771" s="33"/>
      <c r="E771" s="56">
        <f t="shared" si="0"/>
        <v>0</v>
      </c>
      <c r="F771" s="57"/>
      <c r="G771" s="56">
        <f t="shared" si="1"/>
        <v>0</v>
      </c>
      <c r="H771" s="126" t="s">
        <v>202</v>
      </c>
      <c r="I771" s="128" t="s">
        <v>51</v>
      </c>
    </row>
    <row r="772" spans="1:9" ht="12.75" x14ac:dyDescent="0.2">
      <c r="A772" s="251">
        <v>182692010</v>
      </c>
      <c r="B772" s="252"/>
      <c r="C772" s="53" t="s">
        <v>1169</v>
      </c>
      <c r="D772" s="33"/>
      <c r="E772" s="56">
        <f t="shared" si="0"/>
        <v>0</v>
      </c>
      <c r="F772" s="57"/>
      <c r="G772" s="56">
        <f t="shared" si="1"/>
        <v>0</v>
      </c>
      <c r="H772" s="126" t="s">
        <v>202</v>
      </c>
      <c r="I772" s="128" t="s">
        <v>51</v>
      </c>
    </row>
    <row r="773" spans="1:9" ht="12.75" x14ac:dyDescent="0.2">
      <c r="A773" s="152">
        <v>182692010</v>
      </c>
      <c r="B773" s="257"/>
      <c r="C773" s="65" t="s">
        <v>1170</v>
      </c>
      <c r="D773" s="153"/>
      <c r="E773" s="69">
        <f t="shared" si="0"/>
        <v>0</v>
      </c>
      <c r="F773" s="71"/>
      <c r="G773" s="69">
        <f t="shared" si="1"/>
        <v>0</v>
      </c>
      <c r="H773" s="131" t="s">
        <v>202</v>
      </c>
      <c r="I773" s="132" t="s">
        <v>51</v>
      </c>
    </row>
    <row r="774" spans="1:9" ht="12.75" x14ac:dyDescent="0.2">
      <c r="A774" s="12">
        <v>167872008</v>
      </c>
      <c r="B774" s="258"/>
      <c r="C774" s="14" t="s">
        <v>1171</v>
      </c>
      <c r="D774" s="100"/>
      <c r="E774" s="46">
        <f t="shared" si="0"/>
        <v>0</v>
      </c>
      <c r="F774" s="17"/>
      <c r="G774" s="46">
        <f t="shared" si="1"/>
        <v>0</v>
      </c>
      <c r="H774" s="139" t="s">
        <v>324</v>
      </c>
      <c r="I774" s="119" t="s">
        <v>51</v>
      </c>
    </row>
    <row r="775" spans="1:9" ht="12.75" x14ac:dyDescent="0.2">
      <c r="A775" s="251">
        <v>167872008</v>
      </c>
      <c r="B775" s="252"/>
      <c r="C775" s="53" t="s">
        <v>1172</v>
      </c>
      <c r="D775" s="33"/>
      <c r="E775" s="56">
        <f t="shared" si="0"/>
        <v>0</v>
      </c>
      <c r="F775" s="57"/>
      <c r="G775" s="56">
        <f t="shared" si="1"/>
        <v>0</v>
      </c>
      <c r="H775" s="126" t="s">
        <v>324</v>
      </c>
      <c r="I775" s="128" t="s">
        <v>51</v>
      </c>
    </row>
    <row r="776" spans="1:9" ht="12.75" x14ac:dyDescent="0.2">
      <c r="A776" s="251">
        <v>167872008</v>
      </c>
      <c r="B776" s="252"/>
      <c r="C776" s="53" t="s">
        <v>1173</v>
      </c>
      <c r="D776" s="33"/>
      <c r="E776" s="56">
        <f t="shared" si="0"/>
        <v>0</v>
      </c>
      <c r="F776" s="57"/>
      <c r="G776" s="56">
        <f t="shared" si="1"/>
        <v>0</v>
      </c>
      <c r="H776" s="126" t="s">
        <v>324</v>
      </c>
      <c r="I776" s="128" t="s">
        <v>51</v>
      </c>
    </row>
    <row r="777" spans="1:9" ht="12.75" x14ac:dyDescent="0.2">
      <c r="A777" s="251">
        <v>167872008</v>
      </c>
      <c r="B777" s="252"/>
      <c r="C777" s="53" t="s">
        <v>1174</v>
      </c>
      <c r="D777" s="33"/>
      <c r="E777" s="56">
        <f t="shared" si="0"/>
        <v>0</v>
      </c>
      <c r="F777" s="57"/>
      <c r="G777" s="56">
        <f t="shared" si="1"/>
        <v>0</v>
      </c>
      <c r="H777" s="126" t="s">
        <v>324</v>
      </c>
      <c r="I777" s="128" t="s">
        <v>51</v>
      </c>
    </row>
    <row r="778" spans="1:9" ht="12.75" x14ac:dyDescent="0.2">
      <c r="A778" s="251">
        <v>167872008</v>
      </c>
      <c r="B778" s="252"/>
      <c r="C778" s="53" t="s">
        <v>1175</v>
      </c>
      <c r="D778" s="33"/>
      <c r="E778" s="56">
        <f t="shared" si="0"/>
        <v>0</v>
      </c>
      <c r="F778" s="57"/>
      <c r="G778" s="56">
        <f t="shared" si="1"/>
        <v>0</v>
      </c>
      <c r="H778" s="126" t="s">
        <v>324</v>
      </c>
      <c r="I778" s="128" t="s">
        <v>51</v>
      </c>
    </row>
    <row r="779" spans="1:9" ht="12.75" x14ac:dyDescent="0.2">
      <c r="A779" s="251">
        <v>167872008</v>
      </c>
      <c r="B779" s="252"/>
      <c r="C779" s="53" t="s">
        <v>1176</v>
      </c>
      <c r="D779" s="33"/>
      <c r="E779" s="56">
        <f t="shared" si="0"/>
        <v>0</v>
      </c>
      <c r="F779" s="57"/>
      <c r="G779" s="56">
        <f t="shared" si="1"/>
        <v>0</v>
      </c>
      <c r="H779" s="126" t="s">
        <v>324</v>
      </c>
      <c r="I779" s="128" t="s">
        <v>51</v>
      </c>
    </row>
    <row r="780" spans="1:9" ht="12.75" x14ac:dyDescent="0.2">
      <c r="A780" s="251">
        <v>167872008</v>
      </c>
      <c r="B780" s="252"/>
      <c r="C780" s="53" t="s">
        <v>1177</v>
      </c>
      <c r="D780" s="33"/>
      <c r="E780" s="56">
        <f t="shared" si="0"/>
        <v>0</v>
      </c>
      <c r="F780" s="57"/>
      <c r="G780" s="56">
        <f t="shared" si="1"/>
        <v>0</v>
      </c>
      <c r="H780" s="126" t="s">
        <v>324</v>
      </c>
      <c r="I780" s="128" t="s">
        <v>51</v>
      </c>
    </row>
    <row r="781" spans="1:9" ht="12.75" x14ac:dyDescent="0.2">
      <c r="A781" s="251">
        <v>167872008</v>
      </c>
      <c r="B781" s="252"/>
      <c r="C781" s="53" t="s">
        <v>1178</v>
      </c>
      <c r="D781" s="33"/>
      <c r="E781" s="56">
        <f t="shared" si="0"/>
        <v>0</v>
      </c>
      <c r="F781" s="57"/>
      <c r="G781" s="56">
        <f t="shared" si="1"/>
        <v>0</v>
      </c>
      <c r="H781" s="126" t="s">
        <v>324</v>
      </c>
      <c r="I781" s="128" t="s">
        <v>51</v>
      </c>
    </row>
    <row r="782" spans="1:9" ht="12.75" x14ac:dyDescent="0.2">
      <c r="A782" s="251">
        <v>167872008</v>
      </c>
      <c r="B782" s="252"/>
      <c r="C782" s="53" t="s">
        <v>1179</v>
      </c>
      <c r="D782" s="33"/>
      <c r="E782" s="56">
        <f t="shared" si="0"/>
        <v>0</v>
      </c>
      <c r="F782" s="57"/>
      <c r="G782" s="56">
        <f t="shared" si="1"/>
        <v>0</v>
      </c>
      <c r="H782" s="126" t="s">
        <v>324</v>
      </c>
      <c r="I782" s="128" t="s">
        <v>51</v>
      </c>
    </row>
    <row r="783" spans="1:9" ht="12.75" x14ac:dyDescent="0.2">
      <c r="A783" s="251">
        <v>167872008</v>
      </c>
      <c r="B783" s="252"/>
      <c r="C783" s="53" t="s">
        <v>1180</v>
      </c>
      <c r="D783" s="33"/>
      <c r="E783" s="56">
        <f t="shared" si="0"/>
        <v>0</v>
      </c>
      <c r="F783" s="57"/>
      <c r="G783" s="56">
        <f t="shared" si="1"/>
        <v>0</v>
      </c>
      <c r="H783" s="126" t="s">
        <v>324</v>
      </c>
      <c r="I783" s="128" t="s">
        <v>51</v>
      </c>
    </row>
    <row r="784" spans="1:9" ht="12.75" x14ac:dyDescent="0.2">
      <c r="A784" s="251">
        <v>167872008</v>
      </c>
      <c r="B784" s="252"/>
      <c r="C784" s="53" t="s">
        <v>1181</v>
      </c>
      <c r="D784" s="33"/>
      <c r="E784" s="56">
        <f t="shared" si="0"/>
        <v>0</v>
      </c>
      <c r="F784" s="57"/>
      <c r="G784" s="56">
        <f t="shared" si="1"/>
        <v>0</v>
      </c>
      <c r="H784" s="126" t="s">
        <v>324</v>
      </c>
      <c r="I784" s="128" t="s">
        <v>51</v>
      </c>
    </row>
    <row r="785" spans="1:9" ht="12.75" x14ac:dyDescent="0.2">
      <c r="A785" s="251">
        <v>167872008</v>
      </c>
      <c r="B785" s="252"/>
      <c r="C785" s="53" t="s">
        <v>1182</v>
      </c>
      <c r="D785" s="33"/>
      <c r="E785" s="56">
        <f t="shared" si="0"/>
        <v>0</v>
      </c>
      <c r="F785" s="57"/>
      <c r="G785" s="56">
        <f t="shared" si="1"/>
        <v>0</v>
      </c>
      <c r="H785" s="126" t="s">
        <v>324</v>
      </c>
      <c r="I785" s="128" t="s">
        <v>51</v>
      </c>
    </row>
    <row r="786" spans="1:9" ht="12.75" x14ac:dyDescent="0.2">
      <c r="A786" s="251">
        <v>167872008</v>
      </c>
      <c r="B786" s="252"/>
      <c r="C786" s="53" t="s">
        <v>1183</v>
      </c>
      <c r="D786" s="33"/>
      <c r="E786" s="56">
        <f t="shared" si="0"/>
        <v>0</v>
      </c>
      <c r="F786" s="57"/>
      <c r="G786" s="56">
        <f t="shared" si="1"/>
        <v>0</v>
      </c>
      <c r="H786" s="126" t="s">
        <v>324</v>
      </c>
      <c r="I786" s="128" t="s">
        <v>51</v>
      </c>
    </row>
    <row r="787" spans="1:9" ht="12.75" x14ac:dyDescent="0.2">
      <c r="A787" s="251">
        <v>167872008</v>
      </c>
      <c r="B787" s="252"/>
      <c r="C787" s="53" t="s">
        <v>1184</v>
      </c>
      <c r="D787" s="33"/>
      <c r="E787" s="56">
        <f t="shared" si="0"/>
        <v>0</v>
      </c>
      <c r="F787" s="57"/>
      <c r="G787" s="56">
        <f t="shared" si="1"/>
        <v>0</v>
      </c>
      <c r="H787" s="126" t="s">
        <v>324</v>
      </c>
      <c r="I787" s="128" t="s">
        <v>51</v>
      </c>
    </row>
    <row r="788" spans="1:9" ht="12.75" x14ac:dyDescent="0.2">
      <c r="A788" s="152">
        <v>167872008</v>
      </c>
      <c r="B788" s="137"/>
      <c r="C788" s="21" t="s">
        <v>1185</v>
      </c>
      <c r="D788" s="101"/>
      <c r="E788" s="103">
        <f t="shared" si="0"/>
        <v>0</v>
      </c>
      <c r="F788" s="24"/>
      <c r="G788" s="103">
        <f t="shared" si="1"/>
        <v>0</v>
      </c>
      <c r="H788" s="138" t="s">
        <v>324</v>
      </c>
      <c r="I788" s="107" t="s">
        <v>51</v>
      </c>
    </row>
    <row r="789" spans="1:9" ht="12.75" x14ac:dyDescent="0.2">
      <c r="A789" s="12">
        <v>119712005</v>
      </c>
      <c r="B789" s="258"/>
      <c r="C789" s="14" t="s">
        <v>1186</v>
      </c>
      <c r="D789" s="100"/>
      <c r="E789" s="46">
        <f t="shared" si="0"/>
        <v>0</v>
      </c>
      <c r="F789" s="17"/>
      <c r="G789" s="46">
        <f t="shared" si="1"/>
        <v>0</v>
      </c>
      <c r="H789" s="139" t="s">
        <v>324</v>
      </c>
      <c r="I789" s="119" t="s">
        <v>51</v>
      </c>
    </row>
    <row r="790" spans="1:9" ht="12.75" x14ac:dyDescent="0.2">
      <c r="A790" s="251">
        <v>119712005</v>
      </c>
      <c r="B790" s="252"/>
      <c r="C790" s="53" t="s">
        <v>1187</v>
      </c>
      <c r="D790" s="33"/>
      <c r="E790" s="56">
        <f t="shared" si="0"/>
        <v>0</v>
      </c>
      <c r="F790" s="57"/>
      <c r="G790" s="56">
        <f t="shared" si="1"/>
        <v>0</v>
      </c>
      <c r="H790" s="126" t="s">
        <v>324</v>
      </c>
      <c r="I790" s="128" t="s">
        <v>51</v>
      </c>
    </row>
    <row r="791" spans="1:9" ht="12.75" x14ac:dyDescent="0.2">
      <c r="A791" s="251">
        <v>119712005</v>
      </c>
      <c r="B791" s="252"/>
      <c r="C791" s="53" t="s">
        <v>1188</v>
      </c>
      <c r="D791" s="33"/>
      <c r="E791" s="56">
        <f t="shared" si="0"/>
        <v>0</v>
      </c>
      <c r="F791" s="57"/>
      <c r="G791" s="56">
        <f t="shared" si="1"/>
        <v>0</v>
      </c>
      <c r="H791" s="126" t="s">
        <v>324</v>
      </c>
      <c r="I791" s="128" t="s">
        <v>51</v>
      </c>
    </row>
    <row r="792" spans="1:9" ht="12.75" x14ac:dyDescent="0.2">
      <c r="A792" s="251">
        <v>119712005</v>
      </c>
      <c r="B792" s="252"/>
      <c r="C792" s="53" t="s">
        <v>1189</v>
      </c>
      <c r="D792" s="33"/>
      <c r="E792" s="56">
        <f t="shared" si="0"/>
        <v>0</v>
      </c>
      <c r="F792" s="57"/>
      <c r="G792" s="56">
        <f t="shared" si="1"/>
        <v>0</v>
      </c>
      <c r="H792" s="126" t="s">
        <v>324</v>
      </c>
      <c r="I792" s="128" t="s">
        <v>51</v>
      </c>
    </row>
    <row r="793" spans="1:9" ht="12.75" x14ac:dyDescent="0.2">
      <c r="A793" s="251">
        <v>119712005</v>
      </c>
      <c r="B793" s="252"/>
      <c r="C793" s="53" t="s">
        <v>1190</v>
      </c>
      <c r="D793" s="33"/>
      <c r="E793" s="56">
        <f t="shared" si="0"/>
        <v>0</v>
      </c>
      <c r="F793" s="57"/>
      <c r="G793" s="56">
        <f t="shared" si="1"/>
        <v>0</v>
      </c>
      <c r="H793" s="126" t="s">
        <v>324</v>
      </c>
      <c r="I793" s="128" t="s">
        <v>51</v>
      </c>
    </row>
    <row r="794" spans="1:9" ht="12.75" x14ac:dyDescent="0.2">
      <c r="A794" s="251">
        <v>119712005</v>
      </c>
      <c r="B794" s="252"/>
      <c r="C794" s="53" t="s">
        <v>1191</v>
      </c>
      <c r="D794" s="33"/>
      <c r="E794" s="56">
        <f t="shared" si="0"/>
        <v>0</v>
      </c>
      <c r="F794" s="57"/>
      <c r="G794" s="56">
        <f t="shared" si="1"/>
        <v>0</v>
      </c>
      <c r="H794" s="126" t="s">
        <v>324</v>
      </c>
      <c r="I794" s="128" t="s">
        <v>51</v>
      </c>
    </row>
    <row r="795" spans="1:9" ht="12.75" x14ac:dyDescent="0.2">
      <c r="A795" s="251">
        <v>119712005</v>
      </c>
      <c r="B795" s="252"/>
      <c r="C795" s="53" t="s">
        <v>1192</v>
      </c>
      <c r="D795" s="33"/>
      <c r="E795" s="56">
        <f t="shared" si="0"/>
        <v>0</v>
      </c>
      <c r="F795" s="57"/>
      <c r="G795" s="56">
        <f t="shared" si="1"/>
        <v>0</v>
      </c>
      <c r="H795" s="126" t="s">
        <v>324</v>
      </c>
      <c r="I795" s="128" t="s">
        <v>51</v>
      </c>
    </row>
    <row r="796" spans="1:9" ht="12.75" x14ac:dyDescent="0.2">
      <c r="A796" s="152">
        <v>119712005</v>
      </c>
      <c r="B796" s="257"/>
      <c r="C796" s="65" t="s">
        <v>1193</v>
      </c>
      <c r="D796" s="153"/>
      <c r="E796" s="69">
        <f t="shared" si="0"/>
        <v>0</v>
      </c>
      <c r="F796" s="71"/>
      <c r="G796" s="69">
        <f t="shared" si="1"/>
        <v>0</v>
      </c>
      <c r="H796" s="131" t="s">
        <v>324</v>
      </c>
      <c r="I796" s="132" t="s">
        <v>51</v>
      </c>
    </row>
    <row r="797" spans="1:9" ht="12.75" x14ac:dyDescent="0.2">
      <c r="A797" s="12">
        <v>205452004</v>
      </c>
      <c r="B797" s="258"/>
      <c r="C797" s="14" t="s">
        <v>1194</v>
      </c>
      <c r="D797" s="100"/>
      <c r="E797" s="46">
        <f t="shared" si="0"/>
        <v>0</v>
      </c>
      <c r="F797" s="17"/>
      <c r="G797" s="46">
        <f t="shared" si="1"/>
        <v>0</v>
      </c>
      <c r="H797" s="14" t="s">
        <v>961</v>
      </c>
      <c r="I797" s="119" t="s">
        <v>51</v>
      </c>
    </row>
    <row r="798" spans="1:9" ht="12.75" x14ac:dyDescent="0.2">
      <c r="A798" s="251">
        <v>205452004</v>
      </c>
      <c r="B798" s="252"/>
      <c r="C798" s="53" t="s">
        <v>1195</v>
      </c>
      <c r="D798" s="33"/>
      <c r="E798" s="56">
        <f t="shared" si="0"/>
        <v>0</v>
      </c>
      <c r="F798" s="57"/>
      <c r="G798" s="56">
        <f t="shared" si="1"/>
        <v>0</v>
      </c>
      <c r="H798" s="126" t="s">
        <v>961</v>
      </c>
      <c r="I798" s="128" t="s">
        <v>51</v>
      </c>
    </row>
    <row r="799" spans="1:9" ht="12.75" x14ac:dyDescent="0.2">
      <c r="A799" s="251">
        <v>205452004</v>
      </c>
      <c r="B799" s="252"/>
      <c r="C799" s="53" t="s">
        <v>1196</v>
      </c>
      <c r="D799" s="33"/>
      <c r="E799" s="56">
        <f t="shared" si="0"/>
        <v>0</v>
      </c>
      <c r="F799" s="57"/>
      <c r="G799" s="56">
        <f t="shared" si="1"/>
        <v>0</v>
      </c>
      <c r="H799" s="126" t="s">
        <v>961</v>
      </c>
      <c r="I799" s="128" t="s">
        <v>51</v>
      </c>
    </row>
    <row r="800" spans="1:9" ht="12.75" x14ac:dyDescent="0.2">
      <c r="A800" s="251">
        <v>205452004</v>
      </c>
      <c r="B800" s="252"/>
      <c r="C800" s="53" t="s">
        <v>340</v>
      </c>
      <c r="D800" s="33"/>
      <c r="E800" s="56">
        <f t="shared" si="0"/>
        <v>0</v>
      </c>
      <c r="F800" s="57"/>
      <c r="G800" s="56">
        <f t="shared" si="1"/>
        <v>0</v>
      </c>
      <c r="H800" s="126" t="s">
        <v>961</v>
      </c>
      <c r="I800" s="128" t="s">
        <v>51</v>
      </c>
    </row>
    <row r="801" spans="1:9" ht="12.75" x14ac:dyDescent="0.2">
      <c r="A801" s="251">
        <v>205452004</v>
      </c>
      <c r="B801" s="252"/>
      <c r="C801" s="53" t="s">
        <v>1197</v>
      </c>
      <c r="D801" s="33"/>
      <c r="E801" s="56">
        <f t="shared" si="0"/>
        <v>0</v>
      </c>
      <c r="F801" s="57"/>
      <c r="G801" s="56">
        <f t="shared" si="1"/>
        <v>0</v>
      </c>
      <c r="H801" s="126" t="s">
        <v>961</v>
      </c>
      <c r="I801" s="128" t="s">
        <v>51</v>
      </c>
    </row>
    <row r="802" spans="1:9" ht="12.75" x14ac:dyDescent="0.2">
      <c r="A802" s="251">
        <v>205452004</v>
      </c>
      <c r="B802" s="252"/>
      <c r="C802" s="53" t="s">
        <v>1198</v>
      </c>
      <c r="D802" s="33"/>
      <c r="E802" s="56">
        <f t="shared" si="0"/>
        <v>0</v>
      </c>
      <c r="F802" s="57"/>
      <c r="G802" s="56">
        <f t="shared" si="1"/>
        <v>0</v>
      </c>
      <c r="H802" s="126" t="s">
        <v>961</v>
      </c>
      <c r="I802" s="128" t="s">
        <v>51</v>
      </c>
    </row>
    <row r="803" spans="1:9" ht="12.75" x14ac:dyDescent="0.2">
      <c r="A803" s="251">
        <v>205452004</v>
      </c>
      <c r="B803" s="252"/>
      <c r="C803" s="53" t="s">
        <v>1199</v>
      </c>
      <c r="D803" s="33"/>
      <c r="E803" s="56">
        <f t="shared" si="0"/>
        <v>0</v>
      </c>
      <c r="F803" s="57"/>
      <c r="G803" s="56">
        <f t="shared" si="1"/>
        <v>0</v>
      </c>
      <c r="H803" s="126" t="s">
        <v>961</v>
      </c>
      <c r="I803" s="128" t="s">
        <v>51</v>
      </c>
    </row>
    <row r="804" spans="1:9" ht="12.75" x14ac:dyDescent="0.2">
      <c r="A804" s="251">
        <v>205452004</v>
      </c>
      <c r="B804" s="252"/>
      <c r="C804" s="53" t="s">
        <v>1200</v>
      </c>
      <c r="D804" s="33"/>
      <c r="E804" s="56">
        <f t="shared" si="0"/>
        <v>0</v>
      </c>
      <c r="F804" s="57"/>
      <c r="G804" s="56">
        <f t="shared" si="1"/>
        <v>0</v>
      </c>
      <c r="H804" s="126" t="s">
        <v>961</v>
      </c>
      <c r="I804" s="128" t="s">
        <v>51</v>
      </c>
    </row>
    <row r="805" spans="1:9" ht="12.75" x14ac:dyDescent="0.2">
      <c r="A805" s="251">
        <v>205452004</v>
      </c>
      <c r="B805" s="252"/>
      <c r="C805" s="53" t="s">
        <v>1201</v>
      </c>
      <c r="D805" s="33"/>
      <c r="E805" s="56">
        <f t="shared" si="0"/>
        <v>0</v>
      </c>
      <c r="F805" s="57"/>
      <c r="G805" s="56">
        <f t="shared" si="1"/>
        <v>0</v>
      </c>
      <c r="H805" s="126" t="s">
        <v>961</v>
      </c>
      <c r="I805" s="128" t="s">
        <v>51</v>
      </c>
    </row>
    <row r="806" spans="1:9" ht="12.75" x14ac:dyDescent="0.2">
      <c r="A806" s="152">
        <v>205452004</v>
      </c>
      <c r="B806" s="257"/>
      <c r="C806" s="65" t="s">
        <v>1202</v>
      </c>
      <c r="D806" s="153"/>
      <c r="E806" s="69">
        <f t="shared" si="0"/>
        <v>0</v>
      </c>
      <c r="F806" s="71"/>
      <c r="G806" s="69">
        <f t="shared" si="1"/>
        <v>0</v>
      </c>
      <c r="H806" s="131" t="s">
        <v>961</v>
      </c>
      <c r="I806" s="132" t="s">
        <v>51</v>
      </c>
    </row>
    <row r="807" spans="1:9" ht="12.75" x14ac:dyDescent="0.2">
      <c r="A807" s="5">
        <v>235152007</v>
      </c>
      <c r="B807" s="115"/>
      <c r="C807" s="7" t="s">
        <v>1203</v>
      </c>
      <c r="D807" s="8">
        <v>17088.099999999999</v>
      </c>
      <c r="E807" s="113">
        <f t="shared" si="0"/>
        <v>1708.81</v>
      </c>
      <c r="F807" s="10"/>
      <c r="G807" s="113">
        <f t="shared" si="1"/>
        <v>0</v>
      </c>
      <c r="H807" s="7" t="s">
        <v>324</v>
      </c>
      <c r="I807" s="111" t="s">
        <v>51</v>
      </c>
    </row>
    <row r="808" spans="1:9" ht="12.75" x14ac:dyDescent="0.2">
      <c r="A808" s="12">
        <v>92962005</v>
      </c>
      <c r="B808" s="13" t="s">
        <v>14</v>
      </c>
      <c r="C808" s="14" t="s">
        <v>1204</v>
      </c>
      <c r="D808" s="100"/>
      <c r="E808" s="46">
        <f t="shared" si="0"/>
        <v>0</v>
      </c>
      <c r="F808" s="144"/>
      <c r="G808" s="16">
        <f t="shared" si="1"/>
        <v>0</v>
      </c>
      <c r="H808" s="14" t="s">
        <v>42</v>
      </c>
      <c r="I808" s="119" t="s">
        <v>51</v>
      </c>
    </row>
    <row r="809" spans="1:9" ht="12.75" x14ac:dyDescent="0.2">
      <c r="A809" s="123">
        <v>92962005</v>
      </c>
      <c r="B809" s="133" t="s">
        <v>14</v>
      </c>
      <c r="C809" s="82" t="s">
        <v>1205</v>
      </c>
      <c r="D809" s="28"/>
      <c r="E809" s="88">
        <f t="shared" si="0"/>
        <v>0</v>
      </c>
      <c r="F809" s="30"/>
      <c r="G809" s="29">
        <f t="shared" si="1"/>
        <v>0</v>
      </c>
      <c r="H809" s="127" t="s">
        <v>42</v>
      </c>
      <c r="I809" s="94" t="s">
        <v>51</v>
      </c>
    </row>
    <row r="810" spans="1:9" ht="12.75" x14ac:dyDescent="0.2">
      <c r="A810" s="123">
        <v>92962005</v>
      </c>
      <c r="B810" s="133" t="s">
        <v>14</v>
      </c>
      <c r="C810" s="82" t="s">
        <v>1206</v>
      </c>
      <c r="D810" s="28"/>
      <c r="E810" s="88">
        <f t="shared" si="0"/>
        <v>0</v>
      </c>
      <c r="F810" s="30"/>
      <c r="G810" s="29">
        <f t="shared" si="1"/>
        <v>0</v>
      </c>
      <c r="H810" s="127" t="s">
        <v>42</v>
      </c>
      <c r="I810" s="94" t="s">
        <v>51</v>
      </c>
    </row>
    <row r="811" spans="1:9" ht="12.75" x14ac:dyDescent="0.2">
      <c r="A811" s="123">
        <v>92962005</v>
      </c>
      <c r="B811" s="133" t="s">
        <v>14</v>
      </c>
      <c r="C811" s="82" t="s">
        <v>1207</v>
      </c>
      <c r="D811" s="28"/>
      <c r="E811" s="88">
        <f t="shared" si="0"/>
        <v>0</v>
      </c>
      <c r="F811" s="30"/>
      <c r="G811" s="29">
        <f t="shared" si="1"/>
        <v>0</v>
      </c>
      <c r="H811" s="127" t="s">
        <v>42</v>
      </c>
      <c r="I811" s="94" t="s">
        <v>51</v>
      </c>
    </row>
    <row r="812" spans="1:9" ht="12.75" x14ac:dyDescent="0.2">
      <c r="A812" s="123">
        <v>92962005</v>
      </c>
      <c r="B812" s="133" t="s">
        <v>14</v>
      </c>
      <c r="C812" s="82" t="s">
        <v>1208</v>
      </c>
      <c r="D812" s="28"/>
      <c r="E812" s="88">
        <f t="shared" si="0"/>
        <v>0</v>
      </c>
      <c r="F812" s="30"/>
      <c r="G812" s="29">
        <f t="shared" si="1"/>
        <v>0</v>
      </c>
      <c r="H812" s="127" t="s">
        <v>42</v>
      </c>
      <c r="I812" s="94" t="s">
        <v>51</v>
      </c>
    </row>
    <row r="813" spans="1:9" ht="12.75" x14ac:dyDescent="0.2">
      <c r="A813" s="123">
        <v>92962005</v>
      </c>
      <c r="B813" s="133" t="s">
        <v>14</v>
      </c>
      <c r="C813" s="82" t="s">
        <v>1209</v>
      </c>
      <c r="D813" s="28"/>
      <c r="E813" s="88">
        <f t="shared" si="0"/>
        <v>0</v>
      </c>
      <c r="F813" s="30"/>
      <c r="G813" s="29">
        <f t="shared" si="1"/>
        <v>0</v>
      </c>
      <c r="H813" s="127" t="s">
        <v>42</v>
      </c>
      <c r="I813" s="94" t="s">
        <v>51</v>
      </c>
    </row>
    <row r="814" spans="1:9" ht="12.75" x14ac:dyDescent="0.2">
      <c r="A814" s="123">
        <v>92962005</v>
      </c>
      <c r="B814" s="133" t="s">
        <v>14</v>
      </c>
      <c r="C814" s="82" t="s">
        <v>1210</v>
      </c>
      <c r="D814" s="28"/>
      <c r="E814" s="88">
        <f t="shared" si="0"/>
        <v>0</v>
      </c>
      <c r="F814" s="30"/>
      <c r="G814" s="29">
        <f t="shared" si="1"/>
        <v>0</v>
      </c>
      <c r="H814" s="127" t="s">
        <v>42</v>
      </c>
      <c r="I814" s="94" t="s">
        <v>51</v>
      </c>
    </row>
    <row r="815" spans="1:9" ht="12.75" x14ac:dyDescent="0.2">
      <c r="A815" s="136">
        <v>92962005</v>
      </c>
      <c r="B815" s="140" t="s">
        <v>14</v>
      </c>
      <c r="C815" s="21" t="s">
        <v>1211</v>
      </c>
      <c r="D815" s="101"/>
      <c r="E815" s="103">
        <f t="shared" si="0"/>
        <v>0</v>
      </c>
      <c r="F815" s="149"/>
      <c r="G815" s="23">
        <f t="shared" si="1"/>
        <v>0</v>
      </c>
      <c r="H815" s="138" t="s">
        <v>42</v>
      </c>
      <c r="I815" s="107" t="s">
        <v>51</v>
      </c>
    </row>
    <row r="816" spans="1:9" ht="12.75" x14ac:dyDescent="0.2">
      <c r="A816" s="5">
        <v>89172004</v>
      </c>
      <c r="B816" s="6" t="s">
        <v>14</v>
      </c>
      <c r="C816" s="7" t="s">
        <v>1212</v>
      </c>
      <c r="D816" s="147"/>
      <c r="E816" s="113">
        <f t="shared" si="0"/>
        <v>0</v>
      </c>
      <c r="F816" s="142"/>
      <c r="G816" s="9">
        <f t="shared" si="1"/>
        <v>0</v>
      </c>
      <c r="H816" s="7" t="s">
        <v>42</v>
      </c>
      <c r="I816" s="111" t="s">
        <v>51</v>
      </c>
    </row>
    <row r="817" spans="1:9" ht="12.75" x14ac:dyDescent="0.2">
      <c r="A817" s="5">
        <v>58942005</v>
      </c>
      <c r="B817" s="6" t="s">
        <v>14</v>
      </c>
      <c r="C817" s="7" t="s">
        <v>1213</v>
      </c>
      <c r="D817" s="147"/>
      <c r="E817" s="113">
        <f t="shared" si="0"/>
        <v>0</v>
      </c>
      <c r="F817" s="142"/>
      <c r="G817" s="259">
        <f t="shared" si="1"/>
        <v>0</v>
      </c>
      <c r="H817" s="7" t="s">
        <v>73</v>
      </c>
      <c r="I817" s="111" t="s">
        <v>51</v>
      </c>
    </row>
    <row r="818" spans="1:9" ht="12.75" x14ac:dyDescent="0.2">
      <c r="A818" s="5">
        <v>3022005</v>
      </c>
      <c r="B818" s="6" t="s">
        <v>13</v>
      </c>
      <c r="C818" s="7" t="s">
        <v>1214</v>
      </c>
      <c r="D818" s="8">
        <v>15173.85</v>
      </c>
      <c r="E818" s="113">
        <f t="shared" si="0"/>
        <v>1379.4409090909091</v>
      </c>
      <c r="F818" s="10">
        <v>0.1</v>
      </c>
      <c r="G818" s="259">
        <f t="shared" si="1"/>
        <v>1379.4409090909103</v>
      </c>
      <c r="H818" s="7" t="s">
        <v>73</v>
      </c>
      <c r="I818" s="111" t="s">
        <v>51</v>
      </c>
    </row>
    <row r="819" spans="1:9" ht="12.75" x14ac:dyDescent="0.2">
      <c r="A819" s="12">
        <v>187912002</v>
      </c>
      <c r="B819" s="260" t="s">
        <v>13</v>
      </c>
      <c r="C819" s="14" t="s">
        <v>1215</v>
      </c>
      <c r="D819" s="100"/>
      <c r="E819" s="46">
        <f t="shared" si="0"/>
        <v>0</v>
      </c>
      <c r="F819" s="144"/>
      <c r="G819" s="16">
        <f t="shared" si="1"/>
        <v>0</v>
      </c>
      <c r="H819" s="139" t="s">
        <v>42</v>
      </c>
      <c r="I819" s="119" t="s">
        <v>51</v>
      </c>
    </row>
    <row r="820" spans="1:9" ht="12.75" x14ac:dyDescent="0.2">
      <c r="A820" s="19">
        <v>187912002</v>
      </c>
      <c r="B820" s="140" t="s">
        <v>13</v>
      </c>
      <c r="C820" s="21" t="s">
        <v>18</v>
      </c>
      <c r="D820" s="101"/>
      <c r="E820" s="103">
        <f t="shared" si="0"/>
        <v>0</v>
      </c>
      <c r="F820" s="149"/>
      <c r="G820" s="23">
        <f t="shared" si="1"/>
        <v>0</v>
      </c>
      <c r="H820" s="138" t="s">
        <v>42</v>
      </c>
      <c r="I820" s="107" t="s">
        <v>51</v>
      </c>
    </row>
    <row r="821" spans="1:9" ht="12.75" x14ac:dyDescent="0.2">
      <c r="A821" s="5">
        <v>342402008</v>
      </c>
      <c r="B821" s="6" t="s">
        <v>14</v>
      </c>
      <c r="C821" s="7" t="s">
        <v>1216</v>
      </c>
      <c r="D821" s="8">
        <v>2041.47</v>
      </c>
      <c r="E821" s="113">
        <f t="shared" si="0"/>
        <v>204.14700000000002</v>
      </c>
      <c r="F821" s="142"/>
      <c r="G821" s="9">
        <f t="shared" si="1"/>
        <v>0</v>
      </c>
      <c r="H821" s="7" t="s">
        <v>42</v>
      </c>
      <c r="I821" s="111" t="s">
        <v>51</v>
      </c>
    </row>
    <row r="822" spans="1:9" ht="12.75" x14ac:dyDescent="0.2">
      <c r="A822" s="12">
        <v>184272008</v>
      </c>
      <c r="B822" s="13" t="s">
        <v>14</v>
      </c>
      <c r="C822" s="14" t="s">
        <v>36</v>
      </c>
      <c r="D822" s="100"/>
      <c r="E822" s="46">
        <f t="shared" si="0"/>
        <v>0</v>
      </c>
      <c r="F822" s="144"/>
      <c r="G822" s="261">
        <f t="shared" si="1"/>
        <v>0</v>
      </c>
      <c r="H822" s="14" t="s">
        <v>52</v>
      </c>
      <c r="I822" s="119" t="s">
        <v>51</v>
      </c>
    </row>
    <row r="823" spans="1:9" ht="12.75" x14ac:dyDescent="0.2">
      <c r="A823" s="123">
        <v>184272008</v>
      </c>
      <c r="B823" s="133" t="s">
        <v>14</v>
      </c>
      <c r="C823" s="82" t="s">
        <v>1217</v>
      </c>
      <c r="D823" s="28"/>
      <c r="E823" s="88">
        <f t="shared" si="0"/>
        <v>0</v>
      </c>
      <c r="F823" s="30"/>
      <c r="G823" s="262">
        <f t="shared" si="1"/>
        <v>0</v>
      </c>
      <c r="H823" s="127" t="s">
        <v>52</v>
      </c>
      <c r="I823" s="94" t="s">
        <v>51</v>
      </c>
    </row>
    <row r="824" spans="1:9" ht="12.75" x14ac:dyDescent="0.2">
      <c r="A824" s="123">
        <v>184272008</v>
      </c>
      <c r="B824" s="133" t="s">
        <v>14</v>
      </c>
      <c r="C824" s="82" t="s">
        <v>1218</v>
      </c>
      <c r="D824" s="28"/>
      <c r="E824" s="88">
        <f t="shared" si="0"/>
        <v>0</v>
      </c>
      <c r="F824" s="30"/>
      <c r="G824" s="262">
        <f t="shared" si="1"/>
        <v>0</v>
      </c>
      <c r="H824" s="127" t="s">
        <v>52</v>
      </c>
      <c r="I824" s="94" t="s">
        <v>51</v>
      </c>
    </row>
    <row r="825" spans="1:9" ht="12.75" x14ac:dyDescent="0.2">
      <c r="A825" s="123">
        <v>184272008</v>
      </c>
      <c r="B825" s="133" t="s">
        <v>14</v>
      </c>
      <c r="C825" s="82" t="s">
        <v>1219</v>
      </c>
      <c r="D825" s="28"/>
      <c r="E825" s="88">
        <f t="shared" si="0"/>
        <v>0</v>
      </c>
      <c r="F825" s="30"/>
      <c r="G825" s="262">
        <f t="shared" si="1"/>
        <v>0</v>
      </c>
      <c r="H825" s="127" t="s">
        <v>52</v>
      </c>
      <c r="I825" s="94" t="s">
        <v>51</v>
      </c>
    </row>
    <row r="826" spans="1:9" ht="12.75" x14ac:dyDescent="0.2">
      <c r="A826" s="123">
        <v>184272008</v>
      </c>
      <c r="B826" s="133" t="s">
        <v>14</v>
      </c>
      <c r="C826" s="82" t="s">
        <v>1220</v>
      </c>
      <c r="D826" s="28"/>
      <c r="E826" s="88">
        <f t="shared" si="0"/>
        <v>0</v>
      </c>
      <c r="F826" s="30"/>
      <c r="G826" s="262">
        <f t="shared" si="1"/>
        <v>0</v>
      </c>
      <c r="H826" s="127" t="s">
        <v>52</v>
      </c>
      <c r="I826" s="94" t="s">
        <v>51</v>
      </c>
    </row>
    <row r="827" spans="1:9" ht="12.75" x14ac:dyDescent="0.2">
      <c r="A827" s="123">
        <v>184272008</v>
      </c>
      <c r="B827" s="133" t="s">
        <v>14</v>
      </c>
      <c r="C827" s="82" t="s">
        <v>1221</v>
      </c>
      <c r="D827" s="28"/>
      <c r="E827" s="88">
        <f t="shared" si="0"/>
        <v>0</v>
      </c>
      <c r="F827" s="30"/>
      <c r="G827" s="262">
        <f t="shared" si="1"/>
        <v>0</v>
      </c>
      <c r="H827" s="127" t="s">
        <v>52</v>
      </c>
      <c r="I827" s="94" t="s">
        <v>51</v>
      </c>
    </row>
    <row r="828" spans="1:9" ht="12.75" x14ac:dyDescent="0.2">
      <c r="A828" s="123">
        <v>184272008</v>
      </c>
      <c r="B828" s="133" t="s">
        <v>14</v>
      </c>
      <c r="C828" s="82" t="s">
        <v>1222</v>
      </c>
      <c r="D828" s="28"/>
      <c r="E828" s="88">
        <f t="shared" si="0"/>
        <v>0</v>
      </c>
      <c r="F828" s="30"/>
      <c r="G828" s="262">
        <f t="shared" si="1"/>
        <v>0</v>
      </c>
      <c r="H828" s="82" t="s">
        <v>52</v>
      </c>
      <c r="I828" s="94" t="s">
        <v>51</v>
      </c>
    </row>
    <row r="829" spans="1:9" ht="12.75" x14ac:dyDescent="0.2">
      <c r="A829" s="123">
        <v>184272008</v>
      </c>
      <c r="B829" s="133" t="s">
        <v>14</v>
      </c>
      <c r="C829" s="82" t="s">
        <v>1223</v>
      </c>
      <c r="D829" s="28"/>
      <c r="E829" s="88">
        <f t="shared" si="0"/>
        <v>0</v>
      </c>
      <c r="F829" s="30"/>
      <c r="G829" s="262">
        <f t="shared" si="1"/>
        <v>0</v>
      </c>
      <c r="H829" s="127" t="s">
        <v>52</v>
      </c>
      <c r="I829" s="94" t="s">
        <v>51</v>
      </c>
    </row>
    <row r="830" spans="1:9" ht="12.75" x14ac:dyDescent="0.2">
      <c r="A830" s="123">
        <v>184272008</v>
      </c>
      <c r="B830" s="133" t="s">
        <v>14</v>
      </c>
      <c r="C830" s="82" t="s">
        <v>1224</v>
      </c>
      <c r="D830" s="28"/>
      <c r="E830" s="88">
        <f t="shared" si="0"/>
        <v>0</v>
      </c>
      <c r="F830" s="30"/>
      <c r="G830" s="262">
        <f t="shared" si="1"/>
        <v>0</v>
      </c>
      <c r="H830" s="127" t="s">
        <v>52</v>
      </c>
      <c r="I830" s="94" t="s">
        <v>51</v>
      </c>
    </row>
    <row r="831" spans="1:9" ht="12.75" x14ac:dyDescent="0.2">
      <c r="A831" s="123">
        <v>184272008</v>
      </c>
      <c r="B831" s="133" t="s">
        <v>14</v>
      </c>
      <c r="C831" s="82" t="s">
        <v>1225</v>
      </c>
      <c r="D831" s="28"/>
      <c r="E831" s="88">
        <f t="shared" si="0"/>
        <v>0</v>
      </c>
      <c r="F831" s="30"/>
      <c r="G831" s="262">
        <f t="shared" si="1"/>
        <v>0</v>
      </c>
      <c r="H831" s="127" t="s">
        <v>52</v>
      </c>
      <c r="I831" s="94" t="s">
        <v>51</v>
      </c>
    </row>
    <row r="832" spans="1:9" ht="12.75" x14ac:dyDescent="0.2">
      <c r="A832" s="123">
        <v>184272008</v>
      </c>
      <c r="B832" s="133" t="s">
        <v>14</v>
      </c>
      <c r="C832" s="82" t="s">
        <v>1226</v>
      </c>
      <c r="D832" s="28"/>
      <c r="E832" s="88">
        <f t="shared" si="0"/>
        <v>0</v>
      </c>
      <c r="F832" s="30"/>
      <c r="G832" s="262">
        <f t="shared" si="1"/>
        <v>0</v>
      </c>
      <c r="H832" s="127" t="s">
        <v>52</v>
      </c>
      <c r="I832" s="94" t="s">
        <v>51</v>
      </c>
    </row>
    <row r="833" spans="1:9" ht="12.75" x14ac:dyDescent="0.2">
      <c r="A833" s="123">
        <v>184272008</v>
      </c>
      <c r="B833" s="133" t="s">
        <v>14</v>
      </c>
      <c r="C833" s="82" t="s">
        <v>1227</v>
      </c>
      <c r="D833" s="28"/>
      <c r="E833" s="88">
        <f t="shared" si="0"/>
        <v>0</v>
      </c>
      <c r="F833" s="30"/>
      <c r="G833" s="262">
        <f t="shared" si="1"/>
        <v>0</v>
      </c>
      <c r="H833" s="127" t="s">
        <v>52</v>
      </c>
      <c r="I833" s="94" t="s">
        <v>51</v>
      </c>
    </row>
    <row r="834" spans="1:9" ht="12.75" x14ac:dyDescent="0.2">
      <c r="A834" s="123">
        <v>184272008</v>
      </c>
      <c r="B834" s="133" t="s">
        <v>14</v>
      </c>
      <c r="C834" s="82" t="s">
        <v>1228</v>
      </c>
      <c r="D834" s="28"/>
      <c r="E834" s="88">
        <f t="shared" si="0"/>
        <v>0</v>
      </c>
      <c r="F834" s="30"/>
      <c r="G834" s="262">
        <f t="shared" si="1"/>
        <v>0</v>
      </c>
      <c r="H834" s="127" t="s">
        <v>52</v>
      </c>
      <c r="I834" s="94" t="s">
        <v>51</v>
      </c>
    </row>
    <row r="835" spans="1:9" ht="12.75" x14ac:dyDescent="0.2">
      <c r="A835" s="263">
        <v>184272008</v>
      </c>
      <c r="B835" s="264" t="s">
        <v>14</v>
      </c>
      <c r="C835" s="212" t="s">
        <v>1229</v>
      </c>
      <c r="D835" s="220"/>
      <c r="E835" s="214">
        <f t="shared" si="0"/>
        <v>0</v>
      </c>
      <c r="F835" s="265"/>
      <c r="G835" s="266">
        <f t="shared" si="1"/>
        <v>0</v>
      </c>
      <c r="H835" s="212" t="s">
        <v>41</v>
      </c>
      <c r="I835" s="249" t="s">
        <v>51</v>
      </c>
    </row>
    <row r="836" spans="1:9" ht="12.75" x14ac:dyDescent="0.2">
      <c r="A836" s="5">
        <v>286442008</v>
      </c>
      <c r="B836" s="6" t="s">
        <v>14</v>
      </c>
      <c r="C836" s="7" t="s">
        <v>1230</v>
      </c>
      <c r="D836" s="8">
        <v>6267.39</v>
      </c>
      <c r="E836" s="113">
        <f t="shared" si="0"/>
        <v>626.73900000000003</v>
      </c>
      <c r="F836" s="142"/>
      <c r="G836" s="9">
        <f t="shared" si="1"/>
        <v>0</v>
      </c>
      <c r="H836" s="7" t="s">
        <v>42</v>
      </c>
      <c r="I836" s="111" t="s">
        <v>51</v>
      </c>
    </row>
    <row r="837" spans="1:9" ht="12.75" x14ac:dyDescent="0.2">
      <c r="A837" s="5">
        <v>21592009</v>
      </c>
      <c r="B837" s="6" t="s">
        <v>14</v>
      </c>
      <c r="C837" s="7" t="s">
        <v>1231</v>
      </c>
      <c r="D837" s="8">
        <v>2134.88</v>
      </c>
      <c r="E837" s="113">
        <f t="shared" si="0"/>
        <v>213.48800000000003</v>
      </c>
      <c r="F837" s="142"/>
      <c r="G837" s="9">
        <f t="shared" si="1"/>
        <v>0</v>
      </c>
      <c r="H837" s="7" t="s">
        <v>50</v>
      </c>
      <c r="I837" s="111" t="s">
        <v>51</v>
      </c>
    </row>
    <row r="838" spans="1:9" ht="12.75" x14ac:dyDescent="0.2">
      <c r="A838" s="123">
        <v>305472006</v>
      </c>
      <c r="B838" s="133" t="s">
        <v>14</v>
      </c>
      <c r="C838" s="82" t="s">
        <v>1232</v>
      </c>
      <c r="D838" s="134">
        <v>1581.59</v>
      </c>
      <c r="E838" s="88">
        <f t="shared" si="0"/>
        <v>143.78090909090906</v>
      </c>
      <c r="F838" s="90">
        <v>0.1</v>
      </c>
      <c r="G838" s="262">
        <f t="shared" si="1"/>
        <v>143.78090909090929</v>
      </c>
      <c r="H838" s="127" t="s">
        <v>42</v>
      </c>
      <c r="I838" s="94" t="s">
        <v>51</v>
      </c>
    </row>
    <row r="839" spans="1:9" ht="12.75" x14ac:dyDescent="0.2">
      <c r="A839" s="123">
        <v>305472006</v>
      </c>
      <c r="B839" s="133" t="s">
        <v>14</v>
      </c>
      <c r="C839" s="82" t="s">
        <v>1233</v>
      </c>
      <c r="D839" s="134">
        <v>6132.5</v>
      </c>
      <c r="E839" s="88">
        <f t="shared" si="0"/>
        <v>557.5</v>
      </c>
      <c r="F839" s="90">
        <v>0.1</v>
      </c>
      <c r="G839" s="262">
        <f t="shared" si="1"/>
        <v>557.5</v>
      </c>
      <c r="H839" s="127" t="s">
        <v>42</v>
      </c>
      <c r="I839" s="94" t="s">
        <v>51</v>
      </c>
    </row>
    <row r="840" spans="1:9" ht="12.75" x14ac:dyDescent="0.2">
      <c r="A840" s="123">
        <v>305472006</v>
      </c>
      <c r="B840" s="133" t="s">
        <v>14</v>
      </c>
      <c r="C840" s="82" t="s">
        <v>1234</v>
      </c>
      <c r="D840" s="134">
        <v>1474.15</v>
      </c>
      <c r="E840" s="88">
        <f t="shared" si="0"/>
        <v>134.01363636363635</v>
      </c>
      <c r="F840" s="90">
        <v>0.1</v>
      </c>
      <c r="G840" s="262">
        <f t="shared" si="1"/>
        <v>134.01363636363658</v>
      </c>
      <c r="H840" s="127" t="s">
        <v>42</v>
      </c>
      <c r="I840" s="94" t="s">
        <v>51</v>
      </c>
    </row>
    <row r="841" spans="1:9" ht="12.75" x14ac:dyDescent="0.2">
      <c r="A841" s="123">
        <v>305472006</v>
      </c>
      <c r="B841" s="133" t="s">
        <v>14</v>
      </c>
      <c r="C841" s="82" t="s">
        <v>1235</v>
      </c>
      <c r="D841" s="134">
        <v>3740.66</v>
      </c>
      <c r="E841" s="88">
        <f t="shared" si="0"/>
        <v>340.05999999999995</v>
      </c>
      <c r="F841" s="90">
        <v>0.1</v>
      </c>
      <c r="G841" s="262">
        <f t="shared" si="1"/>
        <v>340.0600000000004</v>
      </c>
      <c r="H841" s="127" t="s">
        <v>42</v>
      </c>
      <c r="I841" s="94" t="s">
        <v>51</v>
      </c>
    </row>
    <row r="842" spans="1:9" ht="12.75" x14ac:dyDescent="0.2">
      <c r="A842" s="123">
        <v>305472006</v>
      </c>
      <c r="B842" s="133" t="s">
        <v>14</v>
      </c>
      <c r="C842" s="82" t="s">
        <v>1236</v>
      </c>
      <c r="D842" s="134">
        <v>1650.54</v>
      </c>
      <c r="E842" s="88">
        <f t="shared" si="0"/>
        <v>150.04909090909089</v>
      </c>
      <c r="F842" s="90">
        <v>0.1</v>
      </c>
      <c r="G842" s="262">
        <f t="shared" si="1"/>
        <v>150.04909090909109</v>
      </c>
      <c r="H842" s="127" t="s">
        <v>42</v>
      </c>
      <c r="I842" s="94" t="s">
        <v>51</v>
      </c>
    </row>
    <row r="843" spans="1:9" ht="12.75" x14ac:dyDescent="0.2">
      <c r="A843" s="123">
        <v>305472006</v>
      </c>
      <c r="B843" s="133" t="s">
        <v>14</v>
      </c>
      <c r="C843" s="82" t="s">
        <v>1237</v>
      </c>
      <c r="D843" s="134">
        <v>1958.2</v>
      </c>
      <c r="E843" s="88">
        <f t="shared" si="0"/>
        <v>178.0181818181818</v>
      </c>
      <c r="F843" s="90">
        <v>0.1</v>
      </c>
      <c r="G843" s="262">
        <f t="shared" si="1"/>
        <v>178.01818181818203</v>
      </c>
      <c r="H843" s="127" t="s">
        <v>42</v>
      </c>
      <c r="I843" s="94" t="s">
        <v>51</v>
      </c>
    </row>
    <row r="844" spans="1:9" ht="12.75" x14ac:dyDescent="0.2">
      <c r="A844" s="123">
        <v>305472006</v>
      </c>
      <c r="B844" s="133" t="s">
        <v>14</v>
      </c>
      <c r="C844" s="82" t="s">
        <v>1238</v>
      </c>
      <c r="D844" s="134">
        <v>1874.58</v>
      </c>
      <c r="E844" s="88">
        <f t="shared" si="0"/>
        <v>170.41636363636363</v>
      </c>
      <c r="F844" s="90">
        <v>0.1</v>
      </c>
      <c r="G844" s="262">
        <f t="shared" si="1"/>
        <v>170.41636363636371</v>
      </c>
      <c r="H844" s="127" t="s">
        <v>42</v>
      </c>
      <c r="I844" s="94" t="s">
        <v>51</v>
      </c>
    </row>
    <row r="845" spans="1:9" ht="12.75" x14ac:dyDescent="0.2">
      <c r="A845" s="123">
        <v>305472006</v>
      </c>
      <c r="B845" s="133" t="s">
        <v>14</v>
      </c>
      <c r="C845" s="82" t="s">
        <v>1239</v>
      </c>
      <c r="D845" s="134">
        <v>2846.15</v>
      </c>
      <c r="E845" s="88">
        <f t="shared" si="0"/>
        <v>258.7409090909091</v>
      </c>
      <c r="F845" s="90">
        <v>0.1</v>
      </c>
      <c r="G845" s="262">
        <f t="shared" si="1"/>
        <v>258.7409090909091</v>
      </c>
      <c r="H845" s="127" t="s">
        <v>42</v>
      </c>
      <c r="I845" s="94" t="s">
        <v>51</v>
      </c>
    </row>
    <row r="846" spans="1:9" ht="12.75" x14ac:dyDescent="0.2">
      <c r="A846" s="123">
        <v>305472006</v>
      </c>
      <c r="B846" s="133" t="s">
        <v>14</v>
      </c>
      <c r="C846" s="82" t="s">
        <v>1240</v>
      </c>
      <c r="D846" s="134">
        <v>1805</v>
      </c>
      <c r="E846" s="88">
        <f t="shared" si="0"/>
        <v>164.09090909090909</v>
      </c>
      <c r="F846" s="90">
        <v>0.1</v>
      </c>
      <c r="G846" s="262">
        <f t="shared" si="1"/>
        <v>164.09090909090924</v>
      </c>
      <c r="H846" s="127" t="s">
        <v>42</v>
      </c>
      <c r="I846" s="94" t="s">
        <v>51</v>
      </c>
    </row>
    <row r="847" spans="1:9" ht="12.75" x14ac:dyDescent="0.2">
      <c r="A847" s="123">
        <v>305472006</v>
      </c>
      <c r="B847" s="133" t="s">
        <v>14</v>
      </c>
      <c r="C847" s="82" t="s">
        <v>1241</v>
      </c>
      <c r="D847" s="134">
        <v>6863.14</v>
      </c>
      <c r="E847" s="88">
        <f t="shared" si="0"/>
        <v>623.92181818181825</v>
      </c>
      <c r="F847" s="90">
        <v>0.1</v>
      </c>
      <c r="G847" s="262">
        <f t="shared" si="1"/>
        <v>623.92181818181871</v>
      </c>
      <c r="H847" s="127" t="s">
        <v>42</v>
      </c>
      <c r="I847" s="94" t="s">
        <v>51</v>
      </c>
    </row>
    <row r="848" spans="1:9" ht="12.75" x14ac:dyDescent="0.2">
      <c r="A848" s="123">
        <v>305472006</v>
      </c>
      <c r="B848" s="133" t="s">
        <v>14</v>
      </c>
      <c r="C848" s="82" t="s">
        <v>1242</v>
      </c>
      <c r="D848" s="134">
        <v>1988.78</v>
      </c>
      <c r="E848" s="88">
        <f t="shared" si="0"/>
        <v>180.7981818181818</v>
      </c>
      <c r="F848" s="90">
        <v>0.1</v>
      </c>
      <c r="G848" s="262">
        <f t="shared" si="1"/>
        <v>180.798181818182</v>
      </c>
      <c r="H848" s="127" t="s">
        <v>42</v>
      </c>
      <c r="I848" s="94" t="s">
        <v>51</v>
      </c>
    </row>
    <row r="849" spans="1:9" ht="12.75" x14ac:dyDescent="0.2">
      <c r="A849" s="123">
        <v>305472006</v>
      </c>
      <c r="B849" s="133" t="s">
        <v>14</v>
      </c>
      <c r="C849" s="82" t="s">
        <v>1243</v>
      </c>
      <c r="D849" s="134">
        <v>6613.23</v>
      </c>
      <c r="E849" s="88">
        <f t="shared" si="0"/>
        <v>601.2027272727272</v>
      </c>
      <c r="F849" s="90">
        <v>0.1</v>
      </c>
      <c r="G849" s="262">
        <f t="shared" si="1"/>
        <v>601.20272727272732</v>
      </c>
      <c r="H849" s="127" t="s">
        <v>42</v>
      </c>
      <c r="I849" s="94" t="s">
        <v>51</v>
      </c>
    </row>
    <row r="850" spans="1:9" ht="12.75" x14ac:dyDescent="0.2">
      <c r="A850" s="5">
        <v>52302003</v>
      </c>
      <c r="B850" s="6" t="s">
        <v>13</v>
      </c>
      <c r="C850" s="7" t="s">
        <v>1244</v>
      </c>
      <c r="D850" s="147"/>
      <c r="E850" s="113">
        <f t="shared" si="0"/>
        <v>0</v>
      </c>
      <c r="F850" s="142"/>
      <c r="G850" s="9">
        <f t="shared" si="1"/>
        <v>0</v>
      </c>
      <c r="H850" s="7" t="s">
        <v>50</v>
      </c>
      <c r="I850" s="111" t="s">
        <v>51</v>
      </c>
    </row>
    <row r="851" spans="1:9" ht="12.75" x14ac:dyDescent="0.2">
      <c r="A851" s="5">
        <v>247862010</v>
      </c>
      <c r="B851" s="6" t="s">
        <v>13</v>
      </c>
      <c r="C851" s="7" t="s">
        <v>1245</v>
      </c>
      <c r="D851" s="147"/>
      <c r="E851" s="113">
        <f t="shared" si="0"/>
        <v>0</v>
      </c>
      <c r="F851" s="142"/>
      <c r="G851" s="9">
        <f t="shared" si="1"/>
        <v>0</v>
      </c>
      <c r="H851" s="7" t="s">
        <v>50</v>
      </c>
      <c r="I851" s="111" t="s">
        <v>51</v>
      </c>
    </row>
    <row r="852" spans="1:9" ht="12.75" x14ac:dyDescent="0.2">
      <c r="A852" s="26"/>
      <c r="B852" s="26"/>
      <c r="C852" s="27"/>
      <c r="D852" s="28"/>
      <c r="E852" s="88">
        <f t="shared" si="0"/>
        <v>0</v>
      </c>
      <c r="F852" s="30"/>
      <c r="G852" s="29">
        <f t="shared" si="1"/>
        <v>0</v>
      </c>
      <c r="H852" s="27"/>
      <c r="I852" s="26"/>
    </row>
    <row r="853" spans="1:9" ht="12.75" x14ac:dyDescent="0.2">
      <c r="A853" s="26"/>
      <c r="B853" s="26"/>
      <c r="C853" s="27"/>
      <c r="D853" s="28"/>
      <c r="E853" s="88">
        <f t="shared" si="0"/>
        <v>0</v>
      </c>
      <c r="F853" s="30"/>
      <c r="G853" s="29">
        <f t="shared" si="1"/>
        <v>0</v>
      </c>
      <c r="H853" s="27"/>
      <c r="I853" s="26"/>
    </row>
    <row r="854" spans="1:9" ht="12.75" x14ac:dyDescent="0.2">
      <c r="A854" s="26"/>
      <c r="B854" s="26"/>
      <c r="C854" s="27"/>
      <c r="D854" s="28"/>
      <c r="E854" s="88">
        <f t="shared" si="0"/>
        <v>0</v>
      </c>
      <c r="F854" s="30"/>
      <c r="G854" s="29">
        <f t="shared" si="1"/>
        <v>0</v>
      </c>
      <c r="H854" s="27"/>
      <c r="I854" s="26"/>
    </row>
    <row r="855" spans="1:9" ht="12.75" x14ac:dyDescent="0.2">
      <c r="A855" s="26"/>
      <c r="B855" s="26"/>
      <c r="C855" s="27"/>
      <c r="D855" s="28"/>
      <c r="E855" s="88">
        <f t="shared" si="0"/>
        <v>0</v>
      </c>
      <c r="F855" s="30"/>
      <c r="G855" s="29">
        <f t="shared" si="1"/>
        <v>0</v>
      </c>
      <c r="H855" s="27"/>
      <c r="I855" s="26"/>
    </row>
    <row r="856" spans="1:9" ht="12.75" x14ac:dyDescent="0.2">
      <c r="A856" s="26"/>
      <c r="B856" s="26"/>
      <c r="C856" s="27"/>
      <c r="D856" s="28"/>
      <c r="E856" s="88">
        <f t="shared" si="0"/>
        <v>0</v>
      </c>
      <c r="F856" s="30"/>
      <c r="G856" s="29">
        <f t="shared" si="1"/>
        <v>0</v>
      </c>
      <c r="H856" s="27"/>
      <c r="I856" s="26"/>
    </row>
    <row r="857" spans="1:9" ht="12.75" x14ac:dyDescent="0.2">
      <c r="A857" s="26"/>
      <c r="B857" s="26"/>
      <c r="C857" s="27"/>
      <c r="D857" s="28"/>
      <c r="E857" s="88">
        <f t="shared" si="0"/>
        <v>0</v>
      </c>
      <c r="F857" s="30"/>
      <c r="G857" s="29">
        <f t="shared" si="1"/>
        <v>0</v>
      </c>
      <c r="H857" s="27"/>
      <c r="I857" s="26"/>
    </row>
    <row r="858" spans="1:9" ht="12.75" x14ac:dyDescent="0.2">
      <c r="A858" s="26"/>
      <c r="B858" s="26"/>
      <c r="C858" s="27"/>
      <c r="D858" s="28"/>
      <c r="E858" s="88">
        <f t="shared" si="0"/>
        <v>0</v>
      </c>
      <c r="F858" s="30"/>
      <c r="G858" s="29">
        <f t="shared" si="1"/>
        <v>0</v>
      </c>
      <c r="H858" s="27"/>
      <c r="I858" s="26"/>
    </row>
    <row r="859" spans="1:9" ht="12.75" x14ac:dyDescent="0.2">
      <c r="A859" s="26"/>
      <c r="B859" s="26"/>
      <c r="C859" s="27"/>
      <c r="D859" s="28"/>
      <c r="E859" s="88">
        <f t="shared" si="0"/>
        <v>0</v>
      </c>
      <c r="F859" s="30"/>
      <c r="G859" s="29">
        <f t="shared" si="1"/>
        <v>0</v>
      </c>
      <c r="H859" s="27"/>
      <c r="I859" s="26"/>
    </row>
    <row r="860" spans="1:9" ht="12.75" x14ac:dyDescent="0.2">
      <c r="A860" s="31"/>
      <c r="B860" s="31"/>
      <c r="C860" s="32"/>
      <c r="D860" s="33"/>
      <c r="E860" s="56">
        <f t="shared" si="0"/>
        <v>0</v>
      </c>
      <c r="F860" s="35"/>
      <c r="G860" s="34">
        <f t="shared" si="1"/>
        <v>0</v>
      </c>
      <c r="H860" s="32"/>
      <c r="I860" s="31"/>
    </row>
    <row r="861" spans="1:9" ht="12.75" x14ac:dyDescent="0.2">
      <c r="A861" s="31"/>
      <c r="B861" s="31"/>
      <c r="C861" s="32"/>
      <c r="D861" s="33"/>
      <c r="E861" s="56">
        <f t="shared" si="0"/>
        <v>0</v>
      </c>
      <c r="F861" s="35"/>
      <c r="G861" s="34">
        <f t="shared" si="1"/>
        <v>0</v>
      </c>
      <c r="H861" s="32"/>
      <c r="I861" s="31"/>
    </row>
    <row r="862" spans="1:9" ht="12.75" x14ac:dyDescent="0.2">
      <c r="A862" s="26"/>
      <c r="B862" s="26"/>
      <c r="C862" s="27"/>
      <c r="D862" s="28"/>
      <c r="E862" s="88">
        <f t="shared" si="0"/>
        <v>0</v>
      </c>
      <c r="F862" s="30"/>
      <c r="G862" s="29">
        <f t="shared" si="1"/>
        <v>0</v>
      </c>
      <c r="H862" s="27"/>
      <c r="I862" s="26"/>
    </row>
    <row r="863" spans="1:9" ht="12.75" x14ac:dyDescent="0.2">
      <c r="A863" s="31"/>
      <c r="B863" s="31"/>
      <c r="C863" s="32"/>
      <c r="D863" s="33"/>
      <c r="E863" s="56">
        <f t="shared" si="0"/>
        <v>0</v>
      </c>
      <c r="F863" s="35"/>
      <c r="G863" s="34">
        <f t="shared" si="1"/>
        <v>0</v>
      </c>
      <c r="H863" s="32"/>
      <c r="I863" s="31"/>
    </row>
    <row r="864" spans="1:9" ht="12.75" x14ac:dyDescent="0.2">
      <c r="A864" s="31"/>
      <c r="B864" s="31"/>
      <c r="C864" s="32"/>
      <c r="D864" s="33"/>
      <c r="E864" s="56">
        <f t="shared" si="0"/>
        <v>0</v>
      </c>
      <c r="F864" s="35"/>
      <c r="G864" s="34">
        <f t="shared" si="1"/>
        <v>0</v>
      </c>
      <c r="H864" s="32"/>
      <c r="I864" s="31"/>
    </row>
    <row r="865" spans="1:9" ht="12.75" x14ac:dyDescent="0.2">
      <c r="A865" s="31"/>
      <c r="B865" s="31"/>
      <c r="C865" s="32"/>
      <c r="D865" s="33"/>
      <c r="E865" s="56">
        <f t="shared" si="0"/>
        <v>0</v>
      </c>
      <c r="F865" s="35"/>
      <c r="G865" s="34">
        <f t="shared" si="1"/>
        <v>0</v>
      </c>
      <c r="H865" s="32"/>
      <c r="I865" s="31"/>
    </row>
    <row r="866" spans="1:9" ht="12.75" x14ac:dyDescent="0.2">
      <c r="A866" s="31"/>
      <c r="B866" s="31"/>
      <c r="C866" s="32"/>
      <c r="D866" s="33"/>
      <c r="E866" s="56">
        <f t="shared" si="0"/>
        <v>0</v>
      </c>
      <c r="F866" s="35"/>
      <c r="G866" s="34">
        <f t="shared" si="1"/>
        <v>0</v>
      </c>
      <c r="H866" s="32"/>
      <c r="I866" s="31"/>
    </row>
    <row r="867" spans="1:9" ht="12.75" x14ac:dyDescent="0.2">
      <c r="A867" s="31"/>
      <c r="B867" s="31"/>
      <c r="C867" s="32"/>
      <c r="D867" s="33"/>
      <c r="E867" s="56">
        <f t="shared" si="0"/>
        <v>0</v>
      </c>
      <c r="F867" s="35"/>
      <c r="G867" s="34">
        <f t="shared" si="1"/>
        <v>0</v>
      </c>
      <c r="H867" s="32"/>
      <c r="I867" s="31"/>
    </row>
    <row r="868" spans="1:9" ht="12.75" x14ac:dyDescent="0.2">
      <c r="A868" s="31"/>
      <c r="B868" s="31"/>
      <c r="C868" s="32"/>
      <c r="D868" s="33"/>
      <c r="E868" s="56">
        <f t="shared" si="0"/>
        <v>0</v>
      </c>
      <c r="F868" s="35"/>
      <c r="G868" s="34">
        <f t="shared" si="1"/>
        <v>0</v>
      </c>
      <c r="H868" s="32"/>
      <c r="I868" s="31"/>
    </row>
    <row r="869" spans="1:9" ht="12.75" x14ac:dyDescent="0.2">
      <c r="A869" s="31"/>
      <c r="B869" s="31"/>
      <c r="C869" s="32"/>
      <c r="D869" s="33"/>
      <c r="E869" s="56">
        <f t="shared" si="0"/>
        <v>0</v>
      </c>
      <c r="F869" s="35"/>
      <c r="G869" s="34">
        <f t="shared" si="1"/>
        <v>0</v>
      </c>
      <c r="H869" s="32"/>
      <c r="I869" s="31"/>
    </row>
    <row r="870" spans="1:9" ht="12.75" x14ac:dyDescent="0.2">
      <c r="A870" s="31"/>
      <c r="B870" s="31"/>
      <c r="C870" s="32"/>
      <c r="D870" s="33"/>
      <c r="E870" s="56">
        <f t="shared" si="0"/>
        <v>0</v>
      </c>
      <c r="F870" s="35"/>
      <c r="G870" s="34">
        <f t="shared" si="1"/>
        <v>0</v>
      </c>
      <c r="H870" s="32"/>
      <c r="I870" s="31"/>
    </row>
    <row r="871" spans="1:9" ht="12.75" x14ac:dyDescent="0.2">
      <c r="A871" s="31"/>
      <c r="B871" s="31"/>
      <c r="C871" s="32"/>
      <c r="D871" s="33"/>
      <c r="E871" s="56">
        <f t="shared" si="0"/>
        <v>0</v>
      </c>
      <c r="F871" s="35"/>
      <c r="G871" s="34">
        <f t="shared" si="1"/>
        <v>0</v>
      </c>
      <c r="H871" s="32"/>
      <c r="I871" s="31"/>
    </row>
    <row r="872" spans="1:9" ht="12.75" x14ac:dyDescent="0.2">
      <c r="A872" s="31"/>
      <c r="B872" s="31"/>
      <c r="C872" s="32"/>
      <c r="D872" s="33"/>
      <c r="E872" s="56">
        <f t="shared" si="0"/>
        <v>0</v>
      </c>
      <c r="F872" s="35"/>
      <c r="G872" s="34">
        <f t="shared" si="1"/>
        <v>0</v>
      </c>
      <c r="H872" s="32"/>
      <c r="I872" s="31"/>
    </row>
    <row r="873" spans="1:9" ht="12.75" x14ac:dyDescent="0.2">
      <c r="A873" s="31"/>
      <c r="B873" s="31"/>
      <c r="C873" s="32"/>
      <c r="D873" s="33"/>
      <c r="E873" s="56">
        <f t="shared" si="0"/>
        <v>0</v>
      </c>
      <c r="F873" s="35"/>
      <c r="G873" s="34">
        <f t="shared" si="1"/>
        <v>0</v>
      </c>
      <c r="H873" s="32"/>
      <c r="I873" s="31"/>
    </row>
    <row r="874" spans="1:9" ht="12.75" x14ac:dyDescent="0.2">
      <c r="A874" s="31"/>
      <c r="B874" s="31"/>
      <c r="C874" s="32"/>
      <c r="D874" s="33"/>
      <c r="E874" s="56">
        <f t="shared" si="0"/>
        <v>0</v>
      </c>
      <c r="F874" s="35"/>
      <c r="G874" s="34">
        <f t="shared" si="1"/>
        <v>0</v>
      </c>
      <c r="H874" s="32"/>
      <c r="I874" s="31"/>
    </row>
    <row r="875" spans="1:9" ht="12.75" x14ac:dyDescent="0.2">
      <c r="A875" s="31"/>
      <c r="B875" s="31"/>
      <c r="C875" s="32"/>
      <c r="D875" s="33"/>
      <c r="E875" s="56">
        <f t="shared" si="0"/>
        <v>0</v>
      </c>
      <c r="F875" s="35"/>
      <c r="G875" s="34">
        <f t="shared" si="1"/>
        <v>0</v>
      </c>
      <c r="H875" s="32"/>
      <c r="I875" s="31"/>
    </row>
    <row r="876" spans="1:9" ht="12.75" x14ac:dyDescent="0.2">
      <c r="A876" s="31"/>
      <c r="B876" s="31"/>
      <c r="C876" s="32"/>
      <c r="D876" s="33"/>
      <c r="E876" s="56">
        <f t="shared" si="0"/>
        <v>0</v>
      </c>
      <c r="F876" s="35"/>
      <c r="G876" s="34">
        <f t="shared" si="1"/>
        <v>0</v>
      </c>
      <c r="H876" s="32"/>
      <c r="I876" s="31"/>
    </row>
    <row r="877" spans="1:9" ht="12.75" x14ac:dyDescent="0.2">
      <c r="A877" s="31"/>
      <c r="B877" s="31"/>
      <c r="C877" s="32"/>
      <c r="D877" s="33"/>
      <c r="E877" s="56">
        <f t="shared" si="0"/>
        <v>0</v>
      </c>
      <c r="F877" s="35"/>
      <c r="G877" s="34">
        <f t="shared" si="1"/>
        <v>0</v>
      </c>
      <c r="H877" s="32"/>
      <c r="I877" s="31"/>
    </row>
    <row r="878" spans="1:9" ht="12.75" x14ac:dyDescent="0.2">
      <c r="A878" s="31"/>
      <c r="B878" s="31"/>
      <c r="C878" s="32"/>
      <c r="D878" s="33"/>
      <c r="E878" s="56">
        <f t="shared" si="0"/>
        <v>0</v>
      </c>
      <c r="F878" s="35"/>
      <c r="G878" s="34">
        <f t="shared" si="1"/>
        <v>0</v>
      </c>
      <c r="H878" s="32"/>
      <c r="I878" s="31"/>
    </row>
    <row r="879" spans="1:9" ht="12.75" x14ac:dyDescent="0.2">
      <c r="A879" s="31"/>
      <c r="B879" s="31"/>
      <c r="C879" s="32"/>
      <c r="D879" s="33"/>
      <c r="E879" s="56">
        <f t="shared" si="0"/>
        <v>0</v>
      </c>
      <c r="F879" s="35"/>
      <c r="G879" s="34">
        <f t="shared" si="1"/>
        <v>0</v>
      </c>
      <c r="H879" s="32"/>
      <c r="I879" s="31"/>
    </row>
    <row r="880" spans="1:9" ht="12.75" x14ac:dyDescent="0.2">
      <c r="A880" s="31"/>
      <c r="B880" s="31"/>
      <c r="C880" s="32"/>
      <c r="D880" s="33"/>
      <c r="E880" s="56">
        <f t="shared" si="0"/>
        <v>0</v>
      </c>
      <c r="F880" s="35"/>
      <c r="G880" s="34">
        <f t="shared" si="1"/>
        <v>0</v>
      </c>
      <c r="H880" s="32"/>
      <c r="I880" s="31"/>
    </row>
    <row r="881" spans="1:9" ht="12.75" x14ac:dyDescent="0.2">
      <c r="A881" s="31"/>
      <c r="B881" s="31"/>
      <c r="C881" s="32"/>
      <c r="D881" s="33"/>
      <c r="E881" s="56">
        <f t="shared" si="0"/>
        <v>0</v>
      </c>
      <c r="F881" s="35"/>
      <c r="G881" s="34">
        <f t="shared" si="1"/>
        <v>0</v>
      </c>
      <c r="H881" s="32"/>
      <c r="I881" s="31"/>
    </row>
    <row r="882" spans="1:9" ht="12.75" x14ac:dyDescent="0.2">
      <c r="A882" s="31"/>
      <c r="B882" s="31"/>
      <c r="C882" s="32"/>
      <c r="D882" s="33"/>
      <c r="E882" s="56">
        <f t="shared" si="0"/>
        <v>0</v>
      </c>
      <c r="F882" s="35"/>
      <c r="G882" s="34">
        <f t="shared" si="1"/>
        <v>0</v>
      </c>
      <c r="H882" s="32"/>
      <c r="I882" s="31"/>
    </row>
    <row r="883" spans="1:9" ht="12.75" x14ac:dyDescent="0.2">
      <c r="A883" s="31"/>
      <c r="B883" s="31"/>
      <c r="C883" s="32"/>
      <c r="D883" s="33"/>
      <c r="E883" s="56">
        <f t="shared" si="0"/>
        <v>0</v>
      </c>
      <c r="F883" s="35"/>
      <c r="G883" s="34">
        <f t="shared" si="1"/>
        <v>0</v>
      </c>
      <c r="H883" s="32"/>
      <c r="I883" s="31"/>
    </row>
    <row r="884" spans="1:9" ht="12.75" x14ac:dyDescent="0.2">
      <c r="A884" s="31"/>
      <c r="B884" s="31"/>
      <c r="C884" s="32"/>
      <c r="D884" s="33"/>
      <c r="E884" s="56">
        <f t="shared" si="0"/>
        <v>0</v>
      </c>
      <c r="F884" s="35"/>
      <c r="G884" s="34">
        <f t="shared" si="1"/>
        <v>0</v>
      </c>
      <c r="H884" s="32"/>
      <c r="I884" s="31"/>
    </row>
    <row r="885" spans="1:9" ht="12.75" x14ac:dyDescent="0.2">
      <c r="A885" s="31"/>
      <c r="B885" s="31"/>
      <c r="C885" s="32"/>
      <c r="D885" s="33"/>
      <c r="E885" s="56">
        <f t="shared" si="0"/>
        <v>0</v>
      </c>
      <c r="F885" s="35"/>
      <c r="G885" s="34">
        <f t="shared" si="1"/>
        <v>0</v>
      </c>
      <c r="H885" s="32"/>
      <c r="I885" s="31"/>
    </row>
    <row r="886" spans="1:9" ht="12.75" x14ac:dyDescent="0.2">
      <c r="A886" s="31"/>
      <c r="B886" s="31"/>
      <c r="C886" s="32"/>
      <c r="D886" s="33"/>
      <c r="E886" s="56">
        <f t="shared" si="0"/>
        <v>0</v>
      </c>
      <c r="F886" s="35"/>
      <c r="G886" s="34">
        <f t="shared" si="1"/>
        <v>0</v>
      </c>
      <c r="H886" s="32"/>
      <c r="I886" s="31"/>
    </row>
    <row r="887" spans="1:9" ht="12.75" x14ac:dyDescent="0.2">
      <c r="A887" s="31"/>
      <c r="B887" s="31"/>
      <c r="C887" s="32"/>
      <c r="D887" s="33"/>
      <c r="E887" s="56">
        <f t="shared" si="0"/>
        <v>0</v>
      </c>
      <c r="F887" s="35"/>
      <c r="G887" s="34">
        <f t="shared" si="1"/>
        <v>0</v>
      </c>
      <c r="H887" s="32"/>
      <c r="I887" s="31"/>
    </row>
    <row r="888" spans="1:9" ht="12.75" x14ac:dyDescent="0.2">
      <c r="A888" s="31"/>
      <c r="B888" s="31"/>
      <c r="C888" s="32"/>
      <c r="D888" s="33"/>
      <c r="E888" s="56">
        <f t="shared" si="0"/>
        <v>0</v>
      </c>
      <c r="F888" s="35"/>
      <c r="G888" s="34">
        <f t="shared" si="1"/>
        <v>0</v>
      </c>
      <c r="H888" s="32"/>
      <c r="I888" s="31"/>
    </row>
    <row r="889" spans="1:9" ht="12.75" x14ac:dyDescent="0.2">
      <c r="A889" s="31"/>
      <c r="B889" s="31"/>
      <c r="C889" s="32"/>
      <c r="D889" s="33"/>
      <c r="E889" s="56">
        <f t="shared" si="0"/>
        <v>0</v>
      </c>
      <c r="F889" s="35"/>
      <c r="G889" s="34">
        <f t="shared" si="1"/>
        <v>0</v>
      </c>
      <c r="H889" s="32"/>
      <c r="I889" s="31"/>
    </row>
    <row r="890" spans="1:9" ht="12.75" x14ac:dyDescent="0.2">
      <c r="A890" s="31"/>
      <c r="B890" s="31"/>
      <c r="C890" s="32"/>
      <c r="D890" s="33"/>
      <c r="E890" s="56">
        <f t="shared" si="0"/>
        <v>0</v>
      </c>
      <c r="F890" s="35"/>
      <c r="G890" s="34">
        <f t="shared" si="1"/>
        <v>0</v>
      </c>
      <c r="H890" s="32"/>
      <c r="I890" s="31"/>
    </row>
    <row r="891" spans="1:9" ht="12.75" x14ac:dyDescent="0.2">
      <c r="A891" s="31"/>
      <c r="B891" s="31"/>
      <c r="C891" s="32"/>
      <c r="D891" s="33"/>
      <c r="E891" s="56">
        <f t="shared" si="0"/>
        <v>0</v>
      </c>
      <c r="F891" s="35"/>
      <c r="G891" s="34">
        <f t="shared" si="1"/>
        <v>0</v>
      </c>
      <c r="H891" s="32"/>
      <c r="I891" s="31"/>
    </row>
    <row r="892" spans="1:9" ht="12.75" x14ac:dyDescent="0.2">
      <c r="A892" s="31"/>
      <c r="B892" s="31"/>
      <c r="C892" s="32"/>
      <c r="D892" s="33"/>
      <c r="E892" s="56">
        <f t="shared" si="0"/>
        <v>0</v>
      </c>
      <c r="F892" s="35"/>
      <c r="G892" s="34">
        <f t="shared" si="1"/>
        <v>0</v>
      </c>
      <c r="H892" s="32"/>
      <c r="I892" s="31"/>
    </row>
    <row r="893" spans="1:9" ht="12.75" x14ac:dyDescent="0.2">
      <c r="A893" s="31"/>
      <c r="B893" s="31"/>
      <c r="C893" s="32"/>
      <c r="D893" s="33"/>
      <c r="E893" s="56">
        <f t="shared" si="0"/>
        <v>0</v>
      </c>
      <c r="F893" s="35"/>
      <c r="G893" s="34">
        <f t="shared" si="1"/>
        <v>0</v>
      </c>
      <c r="H893" s="32"/>
      <c r="I893" s="31"/>
    </row>
    <row r="894" spans="1:9" ht="12.75" x14ac:dyDescent="0.2">
      <c r="A894" s="31"/>
      <c r="B894" s="31"/>
      <c r="C894" s="32"/>
      <c r="D894" s="33"/>
      <c r="E894" s="56">
        <f t="shared" si="0"/>
        <v>0</v>
      </c>
      <c r="F894" s="35"/>
      <c r="G894" s="34">
        <f t="shared" si="1"/>
        <v>0</v>
      </c>
      <c r="H894" s="32"/>
      <c r="I894" s="31"/>
    </row>
    <row r="895" spans="1:9" ht="12.75" x14ac:dyDescent="0.2">
      <c r="A895" s="31"/>
      <c r="B895" s="31"/>
      <c r="C895" s="32"/>
      <c r="D895" s="33"/>
      <c r="E895" s="56">
        <f t="shared" si="0"/>
        <v>0</v>
      </c>
      <c r="F895" s="35"/>
      <c r="G895" s="34">
        <f t="shared" si="1"/>
        <v>0</v>
      </c>
      <c r="H895" s="32"/>
      <c r="I895" s="31"/>
    </row>
    <row r="896" spans="1:9" ht="12.75" x14ac:dyDescent="0.2">
      <c r="A896" s="31"/>
      <c r="B896" s="31"/>
      <c r="C896" s="32"/>
      <c r="D896" s="33"/>
      <c r="E896" s="56">
        <f t="shared" si="0"/>
        <v>0</v>
      </c>
      <c r="F896" s="35"/>
      <c r="G896" s="34">
        <f t="shared" si="1"/>
        <v>0</v>
      </c>
      <c r="H896" s="32"/>
      <c r="I896" s="31"/>
    </row>
    <row r="897" spans="1:9" ht="12.75" x14ac:dyDescent="0.2">
      <c r="A897" s="31"/>
      <c r="B897" s="31"/>
      <c r="C897" s="32"/>
      <c r="D897" s="33"/>
      <c r="E897" s="56">
        <f t="shared" si="0"/>
        <v>0</v>
      </c>
      <c r="F897" s="35"/>
      <c r="G897" s="34">
        <f t="shared" si="1"/>
        <v>0</v>
      </c>
      <c r="H897" s="32"/>
      <c r="I897" s="31"/>
    </row>
    <row r="898" spans="1:9" ht="12.75" x14ac:dyDescent="0.2">
      <c r="A898" s="31"/>
      <c r="B898" s="31"/>
      <c r="C898" s="32"/>
      <c r="D898" s="33"/>
      <c r="E898" s="56">
        <f t="shared" si="0"/>
        <v>0</v>
      </c>
      <c r="F898" s="35"/>
      <c r="G898" s="34">
        <f t="shared" si="1"/>
        <v>0</v>
      </c>
      <c r="H898" s="32"/>
      <c r="I898" s="31"/>
    </row>
    <row r="899" spans="1:9" ht="12.75" x14ac:dyDescent="0.2">
      <c r="A899" s="31"/>
      <c r="B899" s="31"/>
      <c r="C899" s="32"/>
      <c r="D899" s="33"/>
      <c r="E899" s="56">
        <f t="shared" si="0"/>
        <v>0</v>
      </c>
      <c r="F899" s="35"/>
      <c r="G899" s="34">
        <f t="shared" si="1"/>
        <v>0</v>
      </c>
      <c r="H899" s="32"/>
      <c r="I899" s="31"/>
    </row>
    <row r="900" spans="1:9" ht="12.75" x14ac:dyDescent="0.2">
      <c r="A900" s="31"/>
      <c r="B900" s="31"/>
      <c r="C900" s="32"/>
      <c r="D900" s="33"/>
      <c r="E900" s="56">
        <f t="shared" si="0"/>
        <v>0</v>
      </c>
      <c r="F900" s="35"/>
      <c r="G900" s="34">
        <f t="shared" si="1"/>
        <v>0</v>
      </c>
      <c r="H900" s="32"/>
      <c r="I900" s="31"/>
    </row>
    <row r="901" spans="1:9" ht="12.75" x14ac:dyDescent="0.2">
      <c r="A901" s="31"/>
      <c r="B901" s="31"/>
      <c r="C901" s="32"/>
      <c r="D901" s="33"/>
      <c r="E901" s="56">
        <f t="shared" si="0"/>
        <v>0</v>
      </c>
      <c r="F901" s="35"/>
      <c r="G901" s="34">
        <f t="shared" si="1"/>
        <v>0</v>
      </c>
      <c r="H901" s="32"/>
      <c r="I901" s="31"/>
    </row>
    <row r="902" spans="1:9" ht="12.75" x14ac:dyDescent="0.2">
      <c r="A902" s="31"/>
      <c r="B902" s="31"/>
      <c r="C902" s="32"/>
      <c r="D902" s="33"/>
      <c r="E902" s="56">
        <f t="shared" si="0"/>
        <v>0</v>
      </c>
      <c r="F902" s="35"/>
      <c r="G902" s="34">
        <f t="shared" si="1"/>
        <v>0</v>
      </c>
      <c r="H902" s="32"/>
      <c r="I902" s="31"/>
    </row>
    <row r="903" spans="1:9" ht="12.75" x14ac:dyDescent="0.2">
      <c r="A903" s="31"/>
      <c r="B903" s="31"/>
      <c r="C903" s="32"/>
      <c r="D903" s="33"/>
      <c r="E903" s="56">
        <f t="shared" si="0"/>
        <v>0</v>
      </c>
      <c r="F903" s="35"/>
      <c r="G903" s="34">
        <f t="shared" si="1"/>
        <v>0</v>
      </c>
      <c r="H903" s="32"/>
      <c r="I903" s="31"/>
    </row>
    <row r="904" spans="1:9" ht="12.75" x14ac:dyDescent="0.2">
      <c r="A904" s="31"/>
      <c r="B904" s="31"/>
      <c r="C904" s="32"/>
      <c r="D904" s="33"/>
      <c r="E904" s="56">
        <f t="shared" si="0"/>
        <v>0</v>
      </c>
      <c r="F904" s="35"/>
      <c r="G904" s="34">
        <f t="shared" si="1"/>
        <v>0</v>
      </c>
      <c r="H904" s="32"/>
      <c r="I904" s="31"/>
    </row>
    <row r="905" spans="1:9" ht="12.75" x14ac:dyDescent="0.2">
      <c r="A905" s="31"/>
      <c r="B905" s="31"/>
      <c r="C905" s="32"/>
      <c r="D905" s="33"/>
      <c r="E905" s="56">
        <f t="shared" si="0"/>
        <v>0</v>
      </c>
      <c r="F905" s="35"/>
      <c r="G905" s="34">
        <f t="shared" si="1"/>
        <v>0</v>
      </c>
      <c r="H905" s="32"/>
      <c r="I905" s="31"/>
    </row>
    <row r="906" spans="1:9" ht="12.75" x14ac:dyDescent="0.2">
      <c r="A906" s="31"/>
      <c r="B906" s="31"/>
      <c r="C906" s="32"/>
      <c r="D906" s="33"/>
      <c r="E906" s="56">
        <f t="shared" si="0"/>
        <v>0</v>
      </c>
      <c r="F906" s="35"/>
      <c r="G906" s="34">
        <f t="shared" si="1"/>
        <v>0</v>
      </c>
      <c r="H906" s="32"/>
      <c r="I906" s="31"/>
    </row>
    <row r="907" spans="1:9" ht="12.75" x14ac:dyDescent="0.2">
      <c r="A907" s="31"/>
      <c r="B907" s="31"/>
      <c r="C907" s="32"/>
      <c r="D907" s="33"/>
      <c r="E907" s="56">
        <f t="shared" si="0"/>
        <v>0</v>
      </c>
      <c r="F907" s="35"/>
      <c r="G907" s="34">
        <f t="shared" si="1"/>
        <v>0</v>
      </c>
      <c r="H907" s="32"/>
      <c r="I907" s="31"/>
    </row>
    <row r="908" spans="1:9" ht="12.75" x14ac:dyDescent="0.2">
      <c r="A908" s="31"/>
      <c r="B908" s="31"/>
      <c r="C908" s="32"/>
      <c r="D908" s="33"/>
      <c r="E908" s="56">
        <f t="shared" si="0"/>
        <v>0</v>
      </c>
      <c r="F908" s="35"/>
      <c r="G908" s="34">
        <f t="shared" si="1"/>
        <v>0</v>
      </c>
      <c r="H908" s="32"/>
      <c r="I908" s="31"/>
    </row>
    <row r="909" spans="1:9" ht="12.75" x14ac:dyDescent="0.2">
      <c r="A909" s="31"/>
      <c r="B909" s="31"/>
      <c r="C909" s="32"/>
      <c r="D909" s="33"/>
      <c r="E909" s="56">
        <f t="shared" si="0"/>
        <v>0</v>
      </c>
      <c r="F909" s="35"/>
      <c r="G909" s="34">
        <f t="shared" si="1"/>
        <v>0</v>
      </c>
      <c r="H909" s="32"/>
      <c r="I909" s="31"/>
    </row>
    <row r="910" spans="1:9" ht="12.75" x14ac:dyDescent="0.2">
      <c r="A910" s="31"/>
      <c r="B910" s="31"/>
      <c r="C910" s="32"/>
      <c r="D910" s="33"/>
      <c r="E910" s="56">
        <f t="shared" si="0"/>
        <v>0</v>
      </c>
      <c r="F910" s="35"/>
      <c r="G910" s="34">
        <f t="shared" si="1"/>
        <v>0</v>
      </c>
      <c r="H910" s="32"/>
      <c r="I910" s="31"/>
    </row>
    <row r="911" spans="1:9" ht="12.75" x14ac:dyDescent="0.2">
      <c r="A911" s="31"/>
      <c r="B911" s="31"/>
      <c r="C911" s="32"/>
      <c r="D911" s="33"/>
      <c r="E911" s="56">
        <f t="shared" si="0"/>
        <v>0</v>
      </c>
      <c r="F911" s="35"/>
      <c r="G911" s="34">
        <f t="shared" si="1"/>
        <v>0</v>
      </c>
      <c r="H911" s="32"/>
      <c r="I911" s="31"/>
    </row>
    <row r="912" spans="1:9" ht="12.75" x14ac:dyDescent="0.2">
      <c r="A912" s="31"/>
      <c r="B912" s="31"/>
      <c r="C912" s="32"/>
      <c r="D912" s="33"/>
      <c r="E912" s="56">
        <f t="shared" si="0"/>
        <v>0</v>
      </c>
      <c r="F912" s="35"/>
      <c r="G912" s="34">
        <f t="shared" si="1"/>
        <v>0</v>
      </c>
      <c r="H912" s="32"/>
      <c r="I912" s="31"/>
    </row>
    <row r="913" spans="1:9" ht="12.75" x14ac:dyDescent="0.2">
      <c r="A913" s="31"/>
      <c r="B913" s="31"/>
      <c r="C913" s="32"/>
      <c r="D913" s="33"/>
      <c r="E913" s="56">
        <f t="shared" si="0"/>
        <v>0</v>
      </c>
      <c r="F913" s="35"/>
      <c r="G913" s="34">
        <f t="shared" si="1"/>
        <v>0</v>
      </c>
      <c r="H913" s="32"/>
      <c r="I913" s="31"/>
    </row>
    <row r="914" spans="1:9" ht="12.75" x14ac:dyDescent="0.2">
      <c r="A914" s="31"/>
      <c r="B914" s="31"/>
      <c r="C914" s="32"/>
      <c r="D914" s="33"/>
      <c r="E914" s="56">
        <f t="shared" si="0"/>
        <v>0</v>
      </c>
      <c r="F914" s="35"/>
      <c r="G914" s="34">
        <f t="shared" si="1"/>
        <v>0</v>
      </c>
      <c r="H914" s="32"/>
      <c r="I914" s="31"/>
    </row>
    <row r="915" spans="1:9" ht="12.75" x14ac:dyDescent="0.2">
      <c r="A915" s="31"/>
      <c r="B915" s="31"/>
      <c r="C915" s="32"/>
      <c r="D915" s="33"/>
      <c r="E915" s="56">
        <f t="shared" si="0"/>
        <v>0</v>
      </c>
      <c r="F915" s="35"/>
      <c r="G915" s="34">
        <f t="shared" si="1"/>
        <v>0</v>
      </c>
      <c r="H915" s="32"/>
      <c r="I915" s="31"/>
    </row>
    <row r="916" spans="1:9" ht="12.75" x14ac:dyDescent="0.2">
      <c r="A916" s="270" t="s">
        <v>44</v>
      </c>
      <c r="B916" s="268"/>
      <c r="C916" s="269"/>
      <c r="D916" s="36">
        <f t="shared" ref="D916:E916" si="2">SUM(D3:D915)</f>
        <v>853971.82000000007</v>
      </c>
      <c r="E916" s="36">
        <f t="shared" si="2"/>
        <v>78118.065666666618</v>
      </c>
      <c r="F916" s="36"/>
      <c r="G916" s="36">
        <f>SUM(G3:G915)</f>
        <v>72791.163333333418</v>
      </c>
      <c r="H916" s="39"/>
      <c r="I916" s="40"/>
    </row>
    <row r="917" spans="1:9" ht="12.75" x14ac:dyDescent="0.2">
      <c r="A917" s="41"/>
      <c r="B917" s="41"/>
      <c r="C917" s="41"/>
      <c r="D917" s="42"/>
      <c r="E917" s="37"/>
      <c r="F917" s="38"/>
      <c r="G917" s="37"/>
      <c r="H917" s="39"/>
      <c r="I917" s="40"/>
    </row>
  </sheetData>
  <autoFilter ref="A2:I915" xr:uid="{00000000-0009-0000-0000-000004000000}"/>
  <mergeCells count="2">
    <mergeCell ref="A916:C916"/>
    <mergeCell ref="A1:I1"/>
  </mergeCells>
  <conditionalFormatting sqref="A1:A917">
    <cfRule type="expression" dxfId="4" priority="1">
      <formula>MATCH(INDIRECT(ADDRESS(ROW(),COLUMN())),INDIRECT("METAS!B:B"),0)&gt;0</formula>
    </cfRule>
  </conditionalFormatting>
  <dataValidations count="2">
    <dataValidation type="list" allowBlank="1" sqref="B3:B915" xr:uid="{00000000-0002-0000-0400-000000000000}">
      <formula1>"URV,RECLASSIFICAÇÃO"</formula1>
    </dataValidation>
    <dataValidation type="list" allowBlank="1" sqref="H3:H915" xr:uid="{00000000-0002-0000-0400-000001000000}">
      <formula1>"ALVARÁS EXPEDIDOS,ALVARÁS RECEBIDOS,EXPEDIR ALVARÁS,REQUERER SEQUESTRO,AGUARDAR PRAZO RPV,AGUARDAR RETORNO DA CONTADORIA,EXPEDIR RPVS,ALVARÁ PARA CORRIGIR,VERIFICAR SE TODOS OS ALVARÁS FORAM RECEBIDOS,PARA IMPLANTAR,PAGO,ENVIAR PARA CONTADORIA,NA CONTADOR"&amp;"IA"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5"/>
  <sheetViews>
    <sheetView workbookViewId="0">
      <pane ySplit="2" topLeftCell="A59" activePane="bottomLeft" state="frozen"/>
      <selection pane="bottomLeft" activeCell="A3" sqref="A3:A98"/>
    </sheetView>
  </sheetViews>
  <sheetFormatPr defaultColWidth="14.42578125" defaultRowHeight="15.75" customHeight="1" x14ac:dyDescent="0.2"/>
  <cols>
    <col min="1" max="1" width="8.85546875" customWidth="1"/>
    <col min="2" max="2" width="16.140625" customWidth="1"/>
    <col min="3" max="3" width="43.5703125" customWidth="1"/>
    <col min="4" max="4" width="14.7109375" customWidth="1"/>
    <col min="5" max="5" width="11.5703125" customWidth="1"/>
    <col min="6" max="6" width="8" customWidth="1"/>
    <col min="7" max="7" width="13.140625" customWidth="1"/>
    <col min="8" max="8" width="55.42578125" customWidth="1"/>
    <col min="9" max="9" width="7.85546875" customWidth="1"/>
  </cols>
  <sheetData>
    <row r="1" spans="1:9" ht="15.75" customHeight="1" x14ac:dyDescent="0.2">
      <c r="A1" s="267" t="s">
        <v>47</v>
      </c>
      <c r="B1" s="268"/>
      <c r="C1" s="268"/>
      <c r="D1" s="268"/>
      <c r="E1" s="268"/>
      <c r="F1" s="268"/>
      <c r="G1" s="268"/>
      <c r="H1" s="268"/>
      <c r="I1" s="269"/>
    </row>
    <row r="2" spans="1:9" ht="15.75" customHeight="1" x14ac:dyDescent="0.2">
      <c r="A2" s="1" t="s">
        <v>2</v>
      </c>
      <c r="B2" s="2" t="s">
        <v>3</v>
      </c>
      <c r="C2" s="1" t="s">
        <v>5</v>
      </c>
      <c r="D2" s="1" t="s">
        <v>6</v>
      </c>
      <c r="E2" s="3" t="s">
        <v>7</v>
      </c>
      <c r="F2" s="4" t="s">
        <v>8</v>
      </c>
      <c r="G2" s="3" t="s">
        <v>10</v>
      </c>
      <c r="H2" s="2" t="s">
        <v>4</v>
      </c>
      <c r="I2" s="1" t="s">
        <v>12</v>
      </c>
    </row>
    <row r="3" spans="1:9" ht="15.75" customHeight="1" x14ac:dyDescent="0.2">
      <c r="A3" s="44">
        <v>66262004</v>
      </c>
      <c r="B3" s="13" t="s">
        <v>13</v>
      </c>
      <c r="C3" s="14" t="s">
        <v>49</v>
      </c>
      <c r="D3" s="15">
        <v>2185.7600000000002</v>
      </c>
      <c r="E3" s="46">
        <f t="shared" ref="E3:E153" si="0">IF(F3=0,D3*0.1,IF(OR(B3="Descompressão",B3="MS 207002004"),(D3-G3)*0.05,(D3-G3)*0.1))</f>
        <v>218.57600000000002</v>
      </c>
      <c r="F3" s="17">
        <v>0</v>
      </c>
      <c r="G3" s="46">
        <f t="shared" ref="G3:G153" si="1">IF(F3=100%,D3,IF(F3=0,0,(D3-(D3/(1+F3)))))</f>
        <v>0</v>
      </c>
      <c r="H3" s="14" t="s">
        <v>50</v>
      </c>
      <c r="I3" s="49" t="s">
        <v>51</v>
      </c>
    </row>
    <row r="4" spans="1:9" ht="15.75" customHeight="1" x14ac:dyDescent="0.2">
      <c r="A4" s="50">
        <v>66262004</v>
      </c>
      <c r="B4" s="52" t="s">
        <v>13</v>
      </c>
      <c r="C4" s="53" t="s">
        <v>53</v>
      </c>
      <c r="D4" s="54">
        <v>2734.83</v>
      </c>
      <c r="E4" s="56">
        <f t="shared" si="0"/>
        <v>273.483</v>
      </c>
      <c r="F4" s="57">
        <v>0</v>
      </c>
      <c r="G4" s="56">
        <f t="shared" si="1"/>
        <v>0</v>
      </c>
      <c r="H4" s="53" t="s">
        <v>50</v>
      </c>
      <c r="I4" s="59" t="s">
        <v>51</v>
      </c>
    </row>
    <row r="5" spans="1:9" ht="15.75" customHeight="1" x14ac:dyDescent="0.2">
      <c r="A5" s="61">
        <v>66262004</v>
      </c>
      <c r="B5" s="63" t="s">
        <v>13</v>
      </c>
      <c r="C5" s="65" t="s">
        <v>56</v>
      </c>
      <c r="D5" s="67">
        <v>1080.6300000000001</v>
      </c>
      <c r="E5" s="69">
        <f t="shared" si="0"/>
        <v>108.06300000000002</v>
      </c>
      <c r="F5" s="71">
        <v>0</v>
      </c>
      <c r="G5" s="69">
        <f t="shared" si="1"/>
        <v>0</v>
      </c>
      <c r="H5" s="65" t="s">
        <v>50</v>
      </c>
      <c r="I5" s="73" t="s">
        <v>51</v>
      </c>
    </row>
    <row r="6" spans="1:9" ht="15.75" customHeight="1" x14ac:dyDescent="0.2">
      <c r="A6" s="12">
        <v>27402005</v>
      </c>
      <c r="B6" s="13" t="s">
        <v>13</v>
      </c>
      <c r="C6" s="14" t="s">
        <v>63</v>
      </c>
      <c r="D6" s="15">
        <f>9269.03+926.9</f>
        <v>10195.93</v>
      </c>
      <c r="E6" s="46">
        <f t="shared" si="0"/>
        <v>926.90272727272713</v>
      </c>
      <c r="F6" s="17">
        <v>0.1</v>
      </c>
      <c r="G6" s="48">
        <f t="shared" si="1"/>
        <v>926.90272727272895</v>
      </c>
      <c r="H6" s="14" t="s">
        <v>52</v>
      </c>
      <c r="I6" s="18" t="s">
        <v>51</v>
      </c>
    </row>
    <row r="7" spans="1:9" ht="15.75" customHeight="1" x14ac:dyDescent="0.2">
      <c r="A7" s="78">
        <v>27402005</v>
      </c>
      <c r="B7" s="80" t="s">
        <v>13</v>
      </c>
      <c r="C7" s="82" t="s">
        <v>65</v>
      </c>
      <c r="D7" s="28">
        <f>9553.05+955.31</f>
        <v>10508.359999999999</v>
      </c>
      <c r="E7" s="88">
        <f t="shared" si="0"/>
        <v>955.30545454545427</v>
      </c>
      <c r="F7" s="90">
        <v>0.1</v>
      </c>
      <c r="G7" s="92">
        <f t="shared" si="1"/>
        <v>955.30545454545609</v>
      </c>
      <c r="H7" s="82" t="s">
        <v>52</v>
      </c>
      <c r="I7" s="94" t="s">
        <v>51</v>
      </c>
    </row>
    <row r="8" spans="1:9" ht="15.75" customHeight="1" x14ac:dyDescent="0.2">
      <c r="A8" s="78">
        <v>27402005</v>
      </c>
      <c r="B8" s="80" t="s">
        <v>13</v>
      </c>
      <c r="C8" s="82" t="s">
        <v>71</v>
      </c>
      <c r="D8" s="28">
        <f>2665.09+266.51</f>
        <v>2931.6000000000004</v>
      </c>
      <c r="E8" s="88">
        <f t="shared" si="0"/>
        <v>266.5090909090909</v>
      </c>
      <c r="F8" s="90">
        <v>0.1</v>
      </c>
      <c r="G8" s="92">
        <f t="shared" si="1"/>
        <v>266.50909090909136</v>
      </c>
      <c r="H8" s="82" t="s">
        <v>73</v>
      </c>
      <c r="I8" s="94" t="s">
        <v>51</v>
      </c>
    </row>
    <row r="9" spans="1:9" ht="15.75" customHeight="1" x14ac:dyDescent="0.2">
      <c r="A9" s="78">
        <v>27402005</v>
      </c>
      <c r="B9" s="80" t="s">
        <v>13</v>
      </c>
      <c r="C9" s="82" t="s">
        <v>74</v>
      </c>
      <c r="D9" s="28">
        <f>2694.6+269.4</f>
        <v>2964</v>
      </c>
      <c r="E9" s="88">
        <f t="shared" si="0"/>
        <v>269.45454545454544</v>
      </c>
      <c r="F9" s="90">
        <v>0.1</v>
      </c>
      <c r="G9" s="92">
        <f t="shared" si="1"/>
        <v>269.4545454545455</v>
      </c>
      <c r="H9" s="82" t="s">
        <v>73</v>
      </c>
      <c r="I9" s="94" t="s">
        <v>51</v>
      </c>
    </row>
    <row r="10" spans="1:9" ht="15.75" customHeight="1" x14ac:dyDescent="0.2">
      <c r="A10" s="19">
        <v>27402005</v>
      </c>
      <c r="B10" s="20" t="s">
        <v>13</v>
      </c>
      <c r="C10" s="21" t="s">
        <v>76</v>
      </c>
      <c r="D10" s="101">
        <f>14480+1448</f>
        <v>15928</v>
      </c>
      <c r="E10" s="103">
        <f t="shared" si="0"/>
        <v>1448</v>
      </c>
      <c r="F10" s="24">
        <v>0.1</v>
      </c>
      <c r="G10" s="105">
        <f t="shared" si="1"/>
        <v>1448.0000000000018</v>
      </c>
      <c r="H10" s="21" t="s">
        <v>77</v>
      </c>
      <c r="I10" s="107" t="s">
        <v>51</v>
      </c>
    </row>
    <row r="11" spans="1:9" ht="15.75" customHeight="1" x14ac:dyDescent="0.2">
      <c r="A11" s="5">
        <v>242262015</v>
      </c>
      <c r="B11" s="6" t="s">
        <v>17</v>
      </c>
      <c r="C11" s="7" t="s">
        <v>78</v>
      </c>
      <c r="D11" s="8">
        <v>17600</v>
      </c>
      <c r="E11" s="113">
        <f t="shared" si="0"/>
        <v>1760</v>
      </c>
      <c r="F11" s="10">
        <v>0</v>
      </c>
      <c r="G11" s="113">
        <f t="shared" si="1"/>
        <v>0</v>
      </c>
      <c r="H11" s="7" t="s">
        <v>85</v>
      </c>
      <c r="I11" s="111" t="s">
        <v>51</v>
      </c>
    </row>
    <row r="12" spans="1:9" ht="15.75" customHeight="1" x14ac:dyDescent="0.2">
      <c r="A12" s="5">
        <v>20202000</v>
      </c>
      <c r="B12" s="115" t="s">
        <v>13</v>
      </c>
      <c r="C12" s="7" t="s">
        <v>18</v>
      </c>
      <c r="D12" s="8">
        <v>13486.71</v>
      </c>
      <c r="E12" s="113">
        <f t="shared" si="0"/>
        <v>0</v>
      </c>
      <c r="F12" s="10">
        <v>1</v>
      </c>
      <c r="G12" s="113">
        <f t="shared" si="1"/>
        <v>13486.71</v>
      </c>
      <c r="H12" s="7" t="s">
        <v>52</v>
      </c>
      <c r="I12" s="111" t="s">
        <v>51</v>
      </c>
    </row>
    <row r="13" spans="1:9" ht="15.75" customHeight="1" x14ac:dyDescent="0.2">
      <c r="A13" s="12">
        <v>255792008</v>
      </c>
      <c r="B13" s="117" t="s">
        <v>14</v>
      </c>
      <c r="C13" s="14" t="s">
        <v>21</v>
      </c>
      <c r="D13" s="100"/>
      <c r="E13" s="46">
        <f t="shared" si="0"/>
        <v>0</v>
      </c>
      <c r="F13" s="17">
        <v>0.1</v>
      </c>
      <c r="G13" s="46">
        <f t="shared" si="1"/>
        <v>0</v>
      </c>
      <c r="H13" s="14" t="s">
        <v>88</v>
      </c>
      <c r="I13" s="119" t="s">
        <v>51</v>
      </c>
    </row>
    <row r="14" spans="1:9" ht="15.75" customHeight="1" x14ac:dyDescent="0.2">
      <c r="A14" s="123">
        <v>255792008</v>
      </c>
      <c r="B14" s="125" t="s">
        <v>14</v>
      </c>
      <c r="C14" s="82" t="s">
        <v>95</v>
      </c>
      <c r="D14" s="28"/>
      <c r="E14" s="88">
        <f t="shared" si="0"/>
        <v>0</v>
      </c>
      <c r="F14" s="90">
        <v>0.1</v>
      </c>
      <c r="G14" s="88">
        <f t="shared" si="1"/>
        <v>0</v>
      </c>
      <c r="H14" s="127" t="s">
        <v>88</v>
      </c>
      <c r="I14" s="94" t="s">
        <v>51</v>
      </c>
    </row>
    <row r="15" spans="1:9" ht="15.75" customHeight="1" x14ac:dyDescent="0.2">
      <c r="A15" s="123">
        <v>255792008</v>
      </c>
      <c r="B15" s="125" t="s">
        <v>14</v>
      </c>
      <c r="C15" s="82" t="s">
        <v>99</v>
      </c>
      <c r="D15" s="28"/>
      <c r="E15" s="88">
        <f t="shared" si="0"/>
        <v>0</v>
      </c>
      <c r="F15" s="90">
        <v>0.1</v>
      </c>
      <c r="G15" s="88">
        <f t="shared" si="1"/>
        <v>0</v>
      </c>
      <c r="H15" s="127" t="s">
        <v>88</v>
      </c>
      <c r="I15" s="94" t="s">
        <v>51</v>
      </c>
    </row>
    <row r="16" spans="1:9" ht="15.75" customHeight="1" x14ac:dyDescent="0.2">
      <c r="A16" s="123">
        <v>255792008</v>
      </c>
      <c r="B16" s="125" t="s">
        <v>14</v>
      </c>
      <c r="C16" s="82" t="s">
        <v>101</v>
      </c>
      <c r="D16" s="28"/>
      <c r="E16" s="88">
        <f t="shared" si="0"/>
        <v>0</v>
      </c>
      <c r="F16" s="90">
        <v>0.1</v>
      </c>
      <c r="G16" s="88">
        <f t="shared" si="1"/>
        <v>0</v>
      </c>
      <c r="H16" s="127" t="s">
        <v>88</v>
      </c>
      <c r="I16" s="94" t="s">
        <v>51</v>
      </c>
    </row>
    <row r="17" spans="1:9" ht="15.75" customHeight="1" x14ac:dyDescent="0.2">
      <c r="A17" s="123">
        <v>255792008</v>
      </c>
      <c r="B17" s="125" t="s">
        <v>14</v>
      </c>
      <c r="C17" s="82" t="s">
        <v>104</v>
      </c>
      <c r="D17" s="28"/>
      <c r="E17" s="88">
        <f t="shared" si="0"/>
        <v>0</v>
      </c>
      <c r="F17" s="90">
        <v>0.1</v>
      </c>
      <c r="G17" s="88">
        <f t="shared" si="1"/>
        <v>0</v>
      </c>
      <c r="H17" s="127" t="s">
        <v>88</v>
      </c>
      <c r="I17" s="94" t="s">
        <v>51</v>
      </c>
    </row>
    <row r="18" spans="1:9" ht="15.75" customHeight="1" x14ac:dyDescent="0.2">
      <c r="A18" s="123">
        <v>255792008</v>
      </c>
      <c r="B18" s="125" t="s">
        <v>14</v>
      </c>
      <c r="C18" s="82" t="s">
        <v>107</v>
      </c>
      <c r="D18" s="28"/>
      <c r="E18" s="88">
        <f t="shared" si="0"/>
        <v>0</v>
      </c>
      <c r="F18" s="90">
        <v>0.1</v>
      </c>
      <c r="G18" s="88">
        <f t="shared" si="1"/>
        <v>0</v>
      </c>
      <c r="H18" s="127" t="s">
        <v>88</v>
      </c>
      <c r="I18" s="94" t="s">
        <v>51</v>
      </c>
    </row>
    <row r="19" spans="1:9" ht="15.75" customHeight="1" x14ac:dyDescent="0.2">
      <c r="A19" s="123">
        <v>255792008</v>
      </c>
      <c r="B19" s="125" t="s">
        <v>14</v>
      </c>
      <c r="C19" s="82" t="s">
        <v>108</v>
      </c>
      <c r="D19" s="28"/>
      <c r="E19" s="88">
        <f t="shared" si="0"/>
        <v>0</v>
      </c>
      <c r="F19" s="90">
        <v>0.1</v>
      </c>
      <c r="G19" s="88">
        <f t="shared" si="1"/>
        <v>0</v>
      </c>
      <c r="H19" s="127" t="s">
        <v>88</v>
      </c>
      <c r="I19" s="94" t="s">
        <v>51</v>
      </c>
    </row>
    <row r="20" spans="1:9" ht="15.75" customHeight="1" x14ac:dyDescent="0.2">
      <c r="A20" s="123">
        <v>255792008</v>
      </c>
      <c r="B20" s="125" t="s">
        <v>14</v>
      </c>
      <c r="C20" s="82" t="s">
        <v>112</v>
      </c>
      <c r="D20" s="28"/>
      <c r="E20" s="88">
        <f t="shared" si="0"/>
        <v>0</v>
      </c>
      <c r="F20" s="90">
        <v>0.1</v>
      </c>
      <c r="G20" s="88">
        <f t="shared" si="1"/>
        <v>0</v>
      </c>
      <c r="H20" s="127" t="s">
        <v>88</v>
      </c>
      <c r="I20" s="94" t="s">
        <v>51</v>
      </c>
    </row>
    <row r="21" spans="1:9" ht="15.75" customHeight="1" x14ac:dyDescent="0.2">
      <c r="A21" s="123">
        <v>255792008</v>
      </c>
      <c r="B21" s="125" t="s">
        <v>14</v>
      </c>
      <c r="C21" s="82" t="s">
        <v>114</v>
      </c>
      <c r="D21" s="28"/>
      <c r="E21" s="88">
        <f t="shared" si="0"/>
        <v>0</v>
      </c>
      <c r="F21" s="90">
        <v>0.1</v>
      </c>
      <c r="G21" s="88">
        <f t="shared" si="1"/>
        <v>0</v>
      </c>
      <c r="H21" s="127" t="s">
        <v>88</v>
      </c>
      <c r="I21" s="94" t="s">
        <v>51</v>
      </c>
    </row>
    <row r="22" spans="1:9" ht="15.75" customHeight="1" x14ac:dyDescent="0.2">
      <c r="A22" s="123">
        <v>255792008</v>
      </c>
      <c r="B22" s="125" t="s">
        <v>14</v>
      </c>
      <c r="C22" s="82" t="s">
        <v>116</v>
      </c>
      <c r="D22" s="28"/>
      <c r="E22" s="88">
        <f t="shared" si="0"/>
        <v>0</v>
      </c>
      <c r="F22" s="90">
        <v>0.1</v>
      </c>
      <c r="G22" s="88">
        <f t="shared" si="1"/>
        <v>0</v>
      </c>
      <c r="H22" s="127" t="s">
        <v>88</v>
      </c>
      <c r="I22" s="94" t="s">
        <v>51</v>
      </c>
    </row>
    <row r="23" spans="1:9" ht="15.75" customHeight="1" x14ac:dyDescent="0.2">
      <c r="A23" s="123">
        <v>255792008</v>
      </c>
      <c r="B23" s="125" t="s">
        <v>14</v>
      </c>
      <c r="C23" s="82" t="s">
        <v>118</v>
      </c>
      <c r="D23" s="28"/>
      <c r="E23" s="88">
        <f t="shared" si="0"/>
        <v>0</v>
      </c>
      <c r="F23" s="90">
        <v>0.1</v>
      </c>
      <c r="G23" s="88">
        <f t="shared" si="1"/>
        <v>0</v>
      </c>
      <c r="H23" s="127" t="s">
        <v>88</v>
      </c>
      <c r="I23" s="94" t="s">
        <v>51</v>
      </c>
    </row>
    <row r="24" spans="1:9" ht="15.75" customHeight="1" x14ac:dyDescent="0.2">
      <c r="A24" s="123">
        <v>255792008</v>
      </c>
      <c r="B24" s="125" t="s">
        <v>14</v>
      </c>
      <c r="C24" s="82" t="s">
        <v>121</v>
      </c>
      <c r="D24" s="28"/>
      <c r="E24" s="88">
        <f t="shared" si="0"/>
        <v>0</v>
      </c>
      <c r="F24" s="90">
        <v>0.1</v>
      </c>
      <c r="G24" s="88">
        <f t="shared" si="1"/>
        <v>0</v>
      </c>
      <c r="H24" s="127" t="s">
        <v>88</v>
      </c>
      <c r="I24" s="94" t="s">
        <v>51</v>
      </c>
    </row>
    <row r="25" spans="1:9" ht="15.75" customHeight="1" x14ac:dyDescent="0.2">
      <c r="A25" s="123">
        <v>255792008</v>
      </c>
      <c r="B25" s="125" t="s">
        <v>14</v>
      </c>
      <c r="C25" s="82" t="s">
        <v>122</v>
      </c>
      <c r="D25" s="28"/>
      <c r="E25" s="88">
        <f t="shared" si="0"/>
        <v>0</v>
      </c>
      <c r="F25" s="90">
        <v>0.1</v>
      </c>
      <c r="G25" s="88">
        <f t="shared" si="1"/>
        <v>0</v>
      </c>
      <c r="H25" s="127" t="s">
        <v>88</v>
      </c>
      <c r="I25" s="94" t="s">
        <v>51</v>
      </c>
    </row>
    <row r="26" spans="1:9" ht="15.75" customHeight="1" x14ac:dyDescent="0.2">
      <c r="A26" s="123">
        <v>255792008</v>
      </c>
      <c r="B26" s="125" t="s">
        <v>14</v>
      </c>
      <c r="C26" s="82" t="s">
        <v>124</v>
      </c>
      <c r="D26" s="28"/>
      <c r="E26" s="88">
        <f t="shared" si="0"/>
        <v>0</v>
      </c>
      <c r="F26" s="90">
        <v>0.1</v>
      </c>
      <c r="G26" s="88">
        <f t="shared" si="1"/>
        <v>0</v>
      </c>
      <c r="H26" s="127" t="s">
        <v>88</v>
      </c>
      <c r="I26" s="94" t="s">
        <v>51</v>
      </c>
    </row>
    <row r="27" spans="1:9" ht="15.75" customHeight="1" x14ac:dyDescent="0.2">
      <c r="A27" s="136">
        <v>255792008</v>
      </c>
      <c r="B27" s="137" t="s">
        <v>14</v>
      </c>
      <c r="C27" s="21" t="s">
        <v>130</v>
      </c>
      <c r="D27" s="101"/>
      <c r="E27" s="103">
        <f t="shared" si="0"/>
        <v>0</v>
      </c>
      <c r="F27" s="24">
        <v>0.1</v>
      </c>
      <c r="G27" s="103">
        <f t="shared" si="1"/>
        <v>0</v>
      </c>
      <c r="H27" s="138" t="s">
        <v>88</v>
      </c>
      <c r="I27" s="107" t="s">
        <v>51</v>
      </c>
    </row>
    <row r="28" spans="1:9" ht="15.75" customHeight="1" x14ac:dyDescent="0.2">
      <c r="A28" s="12">
        <v>255862008</v>
      </c>
      <c r="B28" s="117" t="s">
        <v>14</v>
      </c>
      <c r="C28" s="14" t="s">
        <v>22</v>
      </c>
      <c r="D28" s="100"/>
      <c r="E28" s="46">
        <f t="shared" si="0"/>
        <v>0</v>
      </c>
      <c r="F28" s="17">
        <v>0.1</v>
      </c>
      <c r="G28" s="46">
        <f t="shared" si="1"/>
        <v>0</v>
      </c>
      <c r="H28" s="139" t="s">
        <v>88</v>
      </c>
      <c r="I28" s="119" t="s">
        <v>51</v>
      </c>
    </row>
    <row r="29" spans="1:9" ht="15.75" customHeight="1" x14ac:dyDescent="0.2">
      <c r="A29" s="123">
        <v>255862008</v>
      </c>
      <c r="B29" s="125" t="s">
        <v>14</v>
      </c>
      <c r="C29" s="82" t="s">
        <v>138</v>
      </c>
      <c r="D29" s="28"/>
      <c r="E29" s="88">
        <f t="shared" si="0"/>
        <v>0</v>
      </c>
      <c r="F29" s="90">
        <v>0.1</v>
      </c>
      <c r="G29" s="88">
        <f t="shared" si="1"/>
        <v>0</v>
      </c>
      <c r="H29" s="127" t="s">
        <v>88</v>
      </c>
      <c r="I29" s="94" t="s">
        <v>51</v>
      </c>
    </row>
    <row r="30" spans="1:9" ht="15.75" customHeight="1" x14ac:dyDescent="0.2">
      <c r="A30" s="123">
        <v>255862008</v>
      </c>
      <c r="B30" s="125" t="s">
        <v>14</v>
      </c>
      <c r="C30" s="82" t="s">
        <v>141</v>
      </c>
      <c r="D30" s="28"/>
      <c r="E30" s="88">
        <f t="shared" si="0"/>
        <v>0</v>
      </c>
      <c r="F30" s="90">
        <v>0.1</v>
      </c>
      <c r="G30" s="88">
        <f t="shared" si="1"/>
        <v>0</v>
      </c>
      <c r="H30" s="127" t="s">
        <v>88</v>
      </c>
      <c r="I30" s="94" t="s">
        <v>51</v>
      </c>
    </row>
    <row r="31" spans="1:9" ht="15.75" customHeight="1" x14ac:dyDescent="0.2">
      <c r="A31" s="123">
        <v>255862008</v>
      </c>
      <c r="B31" s="125" t="s">
        <v>14</v>
      </c>
      <c r="C31" s="82" t="s">
        <v>144</v>
      </c>
      <c r="D31" s="28"/>
      <c r="E31" s="88">
        <f t="shared" si="0"/>
        <v>0</v>
      </c>
      <c r="F31" s="90">
        <v>0.1</v>
      </c>
      <c r="G31" s="88">
        <f t="shared" si="1"/>
        <v>0</v>
      </c>
      <c r="H31" s="127" t="s">
        <v>88</v>
      </c>
      <c r="I31" s="94" t="s">
        <v>51</v>
      </c>
    </row>
    <row r="32" spans="1:9" ht="15.75" customHeight="1" x14ac:dyDescent="0.2">
      <c r="A32" s="123">
        <v>255862008</v>
      </c>
      <c r="B32" s="125" t="s">
        <v>14</v>
      </c>
      <c r="C32" s="82" t="s">
        <v>147</v>
      </c>
      <c r="D32" s="28"/>
      <c r="E32" s="88">
        <f t="shared" si="0"/>
        <v>0</v>
      </c>
      <c r="F32" s="90">
        <v>0.1</v>
      </c>
      <c r="G32" s="88">
        <f t="shared" si="1"/>
        <v>0</v>
      </c>
      <c r="H32" s="127" t="s">
        <v>88</v>
      </c>
      <c r="I32" s="94" t="s">
        <v>51</v>
      </c>
    </row>
    <row r="33" spans="1:9" ht="15.75" customHeight="1" x14ac:dyDescent="0.2">
      <c r="A33" s="123">
        <v>255862008</v>
      </c>
      <c r="B33" s="125" t="s">
        <v>14</v>
      </c>
      <c r="C33" s="82" t="s">
        <v>150</v>
      </c>
      <c r="D33" s="28"/>
      <c r="E33" s="88">
        <f t="shared" si="0"/>
        <v>0</v>
      </c>
      <c r="F33" s="90">
        <v>0.1</v>
      </c>
      <c r="G33" s="88">
        <f t="shared" si="1"/>
        <v>0</v>
      </c>
      <c r="H33" s="82" t="s">
        <v>88</v>
      </c>
      <c r="I33" s="94" t="s">
        <v>51</v>
      </c>
    </row>
    <row r="34" spans="1:9" ht="15.75" customHeight="1" x14ac:dyDescent="0.2">
      <c r="A34" s="123">
        <v>255862008</v>
      </c>
      <c r="B34" s="125" t="s">
        <v>14</v>
      </c>
      <c r="C34" s="82" t="s">
        <v>153</v>
      </c>
      <c r="D34" s="28"/>
      <c r="E34" s="88">
        <f t="shared" si="0"/>
        <v>0</v>
      </c>
      <c r="F34" s="90">
        <v>0.1</v>
      </c>
      <c r="G34" s="88">
        <f t="shared" si="1"/>
        <v>0</v>
      </c>
      <c r="H34" s="127" t="s">
        <v>88</v>
      </c>
      <c r="I34" s="94" t="s">
        <v>51</v>
      </c>
    </row>
    <row r="35" spans="1:9" ht="15.75" customHeight="1" x14ac:dyDescent="0.2">
      <c r="A35" s="123">
        <v>255862008</v>
      </c>
      <c r="B35" s="125" t="s">
        <v>14</v>
      </c>
      <c r="C35" s="82" t="s">
        <v>155</v>
      </c>
      <c r="D35" s="28"/>
      <c r="E35" s="88">
        <f t="shared" si="0"/>
        <v>0</v>
      </c>
      <c r="F35" s="90">
        <v>0.1</v>
      </c>
      <c r="G35" s="88">
        <f t="shared" si="1"/>
        <v>0</v>
      </c>
      <c r="H35" s="127" t="s">
        <v>88</v>
      </c>
      <c r="I35" s="94" t="s">
        <v>51</v>
      </c>
    </row>
    <row r="36" spans="1:9" ht="15.75" customHeight="1" x14ac:dyDescent="0.2">
      <c r="A36" s="123">
        <v>255862008</v>
      </c>
      <c r="B36" s="125" t="s">
        <v>14</v>
      </c>
      <c r="C36" s="82" t="s">
        <v>157</v>
      </c>
      <c r="D36" s="28"/>
      <c r="E36" s="88">
        <f t="shared" si="0"/>
        <v>0</v>
      </c>
      <c r="F36" s="90">
        <v>0.1</v>
      </c>
      <c r="G36" s="88">
        <f t="shared" si="1"/>
        <v>0</v>
      </c>
      <c r="H36" s="127" t="s">
        <v>88</v>
      </c>
      <c r="I36" s="94" t="s">
        <v>51</v>
      </c>
    </row>
    <row r="37" spans="1:9" ht="15.75" customHeight="1" x14ac:dyDescent="0.2">
      <c r="A37" s="123">
        <v>255862008</v>
      </c>
      <c r="B37" s="125" t="s">
        <v>14</v>
      </c>
      <c r="C37" s="82" t="s">
        <v>161</v>
      </c>
      <c r="D37" s="28"/>
      <c r="E37" s="88">
        <f t="shared" si="0"/>
        <v>0</v>
      </c>
      <c r="F37" s="90">
        <v>0.1</v>
      </c>
      <c r="G37" s="88">
        <f t="shared" si="1"/>
        <v>0</v>
      </c>
      <c r="H37" s="127" t="s">
        <v>88</v>
      </c>
      <c r="I37" s="94" t="s">
        <v>51</v>
      </c>
    </row>
    <row r="38" spans="1:9" ht="15.75" customHeight="1" x14ac:dyDescent="0.2">
      <c r="A38" s="123">
        <v>255862008</v>
      </c>
      <c r="B38" s="125" t="s">
        <v>14</v>
      </c>
      <c r="C38" s="82" t="s">
        <v>163</v>
      </c>
      <c r="D38" s="28"/>
      <c r="E38" s="88">
        <f t="shared" si="0"/>
        <v>0</v>
      </c>
      <c r="F38" s="90">
        <v>0.1</v>
      </c>
      <c r="G38" s="88">
        <f t="shared" si="1"/>
        <v>0</v>
      </c>
      <c r="H38" s="127" t="s">
        <v>88</v>
      </c>
      <c r="I38" s="94" t="s">
        <v>51</v>
      </c>
    </row>
    <row r="39" spans="1:9" ht="12.75" x14ac:dyDescent="0.2">
      <c r="A39" s="123">
        <v>255862008</v>
      </c>
      <c r="B39" s="125" t="s">
        <v>14</v>
      </c>
      <c r="C39" s="82" t="s">
        <v>165</v>
      </c>
      <c r="D39" s="28"/>
      <c r="E39" s="88">
        <f t="shared" si="0"/>
        <v>0</v>
      </c>
      <c r="F39" s="90">
        <v>0.1</v>
      </c>
      <c r="G39" s="88">
        <f t="shared" si="1"/>
        <v>0</v>
      </c>
      <c r="H39" s="127" t="s">
        <v>88</v>
      </c>
      <c r="I39" s="94" t="s">
        <v>51</v>
      </c>
    </row>
    <row r="40" spans="1:9" ht="12.75" x14ac:dyDescent="0.2">
      <c r="A40" s="123">
        <v>255862008</v>
      </c>
      <c r="B40" s="125" t="s">
        <v>14</v>
      </c>
      <c r="C40" s="82" t="s">
        <v>167</v>
      </c>
      <c r="D40" s="28"/>
      <c r="E40" s="88">
        <f t="shared" si="0"/>
        <v>0</v>
      </c>
      <c r="F40" s="90">
        <v>0.1</v>
      </c>
      <c r="G40" s="88">
        <f t="shared" si="1"/>
        <v>0</v>
      </c>
      <c r="H40" s="127" t="s">
        <v>88</v>
      </c>
      <c r="I40" s="94" t="s">
        <v>51</v>
      </c>
    </row>
    <row r="41" spans="1:9" ht="12.75" x14ac:dyDescent="0.2">
      <c r="A41" s="123">
        <v>255862008</v>
      </c>
      <c r="B41" s="125" t="s">
        <v>14</v>
      </c>
      <c r="C41" s="82" t="s">
        <v>168</v>
      </c>
      <c r="D41" s="28"/>
      <c r="E41" s="88">
        <f t="shared" si="0"/>
        <v>0</v>
      </c>
      <c r="F41" s="90">
        <v>0.1</v>
      </c>
      <c r="G41" s="88">
        <f t="shared" si="1"/>
        <v>0</v>
      </c>
      <c r="H41" s="127" t="s">
        <v>88</v>
      </c>
      <c r="I41" s="94" t="s">
        <v>51</v>
      </c>
    </row>
    <row r="42" spans="1:9" ht="12.75" x14ac:dyDescent="0.2">
      <c r="A42" s="136">
        <v>255862008</v>
      </c>
      <c r="B42" s="137" t="s">
        <v>14</v>
      </c>
      <c r="C42" s="21" t="s">
        <v>170</v>
      </c>
      <c r="D42" s="101"/>
      <c r="E42" s="103">
        <f t="shared" si="0"/>
        <v>0</v>
      </c>
      <c r="F42" s="24">
        <v>0.1</v>
      </c>
      <c r="G42" s="103">
        <f t="shared" si="1"/>
        <v>0</v>
      </c>
      <c r="H42" s="138" t="s">
        <v>88</v>
      </c>
      <c r="I42" s="107" t="s">
        <v>51</v>
      </c>
    </row>
    <row r="43" spans="1:9" ht="12.75" x14ac:dyDescent="0.2">
      <c r="A43" s="5">
        <v>298732009</v>
      </c>
      <c r="B43" s="6" t="s">
        <v>14</v>
      </c>
      <c r="C43" s="7" t="s">
        <v>172</v>
      </c>
      <c r="D43" s="8">
        <v>14805.8</v>
      </c>
      <c r="E43" s="9">
        <f t="shared" si="0"/>
        <v>1480.58</v>
      </c>
      <c r="F43" s="142"/>
      <c r="G43" s="9">
        <f t="shared" si="1"/>
        <v>0</v>
      </c>
      <c r="H43" s="7" t="s">
        <v>88</v>
      </c>
      <c r="I43" s="111" t="s">
        <v>51</v>
      </c>
    </row>
    <row r="44" spans="1:9" ht="12.75" x14ac:dyDescent="0.2">
      <c r="A44" s="12">
        <v>152032006</v>
      </c>
      <c r="B44" s="13" t="s">
        <v>14</v>
      </c>
      <c r="C44" s="14" t="s">
        <v>176</v>
      </c>
      <c r="D44" s="100"/>
      <c r="E44" s="16">
        <f t="shared" si="0"/>
        <v>0</v>
      </c>
      <c r="F44" s="144"/>
      <c r="G44" s="16">
        <f t="shared" si="1"/>
        <v>0</v>
      </c>
      <c r="H44" s="139" t="s">
        <v>88</v>
      </c>
      <c r="I44" s="119" t="s">
        <v>51</v>
      </c>
    </row>
    <row r="45" spans="1:9" ht="12.75" x14ac:dyDescent="0.2">
      <c r="A45" s="123">
        <v>152032006</v>
      </c>
      <c r="B45" s="133" t="s">
        <v>14</v>
      </c>
      <c r="C45" s="82" t="s">
        <v>181</v>
      </c>
      <c r="D45" s="28"/>
      <c r="E45" s="29">
        <f t="shared" si="0"/>
        <v>0</v>
      </c>
      <c r="F45" s="30"/>
      <c r="G45" s="29">
        <f t="shared" si="1"/>
        <v>0</v>
      </c>
      <c r="H45" s="127" t="s">
        <v>88</v>
      </c>
      <c r="I45" s="94" t="s">
        <v>51</v>
      </c>
    </row>
    <row r="46" spans="1:9" ht="12.75" x14ac:dyDescent="0.2">
      <c r="A46" s="123">
        <v>152032006</v>
      </c>
      <c r="B46" s="133" t="s">
        <v>14</v>
      </c>
      <c r="C46" s="82" t="s">
        <v>184</v>
      </c>
      <c r="D46" s="28"/>
      <c r="E46" s="29">
        <f t="shared" si="0"/>
        <v>0</v>
      </c>
      <c r="F46" s="30"/>
      <c r="G46" s="29">
        <f t="shared" si="1"/>
        <v>0</v>
      </c>
      <c r="H46" s="127" t="s">
        <v>88</v>
      </c>
      <c r="I46" s="94" t="s">
        <v>51</v>
      </c>
    </row>
    <row r="47" spans="1:9" ht="12.75" x14ac:dyDescent="0.2">
      <c r="A47" s="123">
        <v>152032006</v>
      </c>
      <c r="B47" s="133" t="s">
        <v>14</v>
      </c>
      <c r="C47" s="82" t="s">
        <v>188</v>
      </c>
      <c r="D47" s="28"/>
      <c r="E47" s="29">
        <f t="shared" si="0"/>
        <v>0</v>
      </c>
      <c r="F47" s="30"/>
      <c r="G47" s="29">
        <f t="shared" si="1"/>
        <v>0</v>
      </c>
      <c r="H47" s="127" t="s">
        <v>88</v>
      </c>
      <c r="I47" s="94" t="s">
        <v>51</v>
      </c>
    </row>
    <row r="48" spans="1:9" ht="12.75" x14ac:dyDescent="0.2">
      <c r="A48" s="123">
        <v>152032006</v>
      </c>
      <c r="B48" s="133" t="s">
        <v>14</v>
      </c>
      <c r="C48" s="82" t="s">
        <v>193</v>
      </c>
      <c r="D48" s="28"/>
      <c r="E48" s="29">
        <f t="shared" si="0"/>
        <v>0</v>
      </c>
      <c r="F48" s="30"/>
      <c r="G48" s="29">
        <f t="shared" si="1"/>
        <v>0</v>
      </c>
      <c r="H48" s="127" t="s">
        <v>88</v>
      </c>
      <c r="I48" s="94" t="s">
        <v>51</v>
      </c>
    </row>
    <row r="49" spans="1:9" ht="12.75" x14ac:dyDescent="0.2">
      <c r="A49" s="123">
        <v>152032006</v>
      </c>
      <c r="B49" s="133" t="s">
        <v>14</v>
      </c>
      <c r="C49" s="82" t="s">
        <v>195</v>
      </c>
      <c r="D49" s="28"/>
      <c r="E49" s="29">
        <f t="shared" si="0"/>
        <v>0</v>
      </c>
      <c r="F49" s="30"/>
      <c r="G49" s="29">
        <f t="shared" si="1"/>
        <v>0</v>
      </c>
      <c r="H49" s="127" t="s">
        <v>88</v>
      </c>
      <c r="I49" s="94" t="s">
        <v>51</v>
      </c>
    </row>
    <row r="50" spans="1:9" ht="12.75" x14ac:dyDescent="0.2">
      <c r="A50" s="123">
        <v>152032006</v>
      </c>
      <c r="B50" s="133" t="s">
        <v>14</v>
      </c>
      <c r="C50" s="82" t="s">
        <v>198</v>
      </c>
      <c r="D50" s="28"/>
      <c r="E50" s="29">
        <f t="shared" si="0"/>
        <v>0</v>
      </c>
      <c r="F50" s="30"/>
      <c r="G50" s="29">
        <f t="shared" si="1"/>
        <v>0</v>
      </c>
      <c r="H50" s="127" t="s">
        <v>88</v>
      </c>
      <c r="I50" s="94" t="s">
        <v>51</v>
      </c>
    </row>
    <row r="51" spans="1:9" ht="12.75" x14ac:dyDescent="0.2">
      <c r="A51" s="123">
        <v>152032006</v>
      </c>
      <c r="B51" s="133" t="s">
        <v>14</v>
      </c>
      <c r="C51" s="82" t="s">
        <v>200</v>
      </c>
      <c r="D51" s="28"/>
      <c r="E51" s="29">
        <f t="shared" si="0"/>
        <v>0</v>
      </c>
      <c r="F51" s="30"/>
      <c r="G51" s="29">
        <f t="shared" si="1"/>
        <v>0</v>
      </c>
      <c r="H51" s="127" t="s">
        <v>88</v>
      </c>
      <c r="I51" s="94" t="s">
        <v>51</v>
      </c>
    </row>
    <row r="52" spans="1:9" ht="12.75" x14ac:dyDescent="0.2">
      <c r="A52" s="123">
        <v>152032006</v>
      </c>
      <c r="B52" s="133" t="s">
        <v>14</v>
      </c>
      <c r="C52" s="82" t="s">
        <v>203</v>
      </c>
      <c r="D52" s="28"/>
      <c r="E52" s="29">
        <f t="shared" si="0"/>
        <v>0</v>
      </c>
      <c r="F52" s="30"/>
      <c r="G52" s="29">
        <f t="shared" si="1"/>
        <v>0</v>
      </c>
      <c r="H52" s="127" t="s">
        <v>88</v>
      </c>
      <c r="I52" s="94" t="s">
        <v>51</v>
      </c>
    </row>
    <row r="53" spans="1:9" ht="12.75" x14ac:dyDescent="0.2">
      <c r="A53" s="123">
        <v>152032006</v>
      </c>
      <c r="B53" s="133" t="s">
        <v>14</v>
      </c>
      <c r="C53" s="82" t="s">
        <v>206</v>
      </c>
      <c r="D53" s="28"/>
      <c r="E53" s="29">
        <f t="shared" si="0"/>
        <v>0</v>
      </c>
      <c r="F53" s="30"/>
      <c r="G53" s="29">
        <f t="shared" si="1"/>
        <v>0</v>
      </c>
      <c r="H53" s="127" t="s">
        <v>88</v>
      </c>
      <c r="I53" s="94" t="s">
        <v>51</v>
      </c>
    </row>
    <row r="54" spans="1:9" ht="12.75" x14ac:dyDescent="0.2">
      <c r="A54" s="123">
        <v>152032006</v>
      </c>
      <c r="B54" s="133" t="s">
        <v>14</v>
      </c>
      <c r="C54" s="82" t="s">
        <v>208</v>
      </c>
      <c r="D54" s="28"/>
      <c r="E54" s="29">
        <f t="shared" si="0"/>
        <v>0</v>
      </c>
      <c r="F54" s="30"/>
      <c r="G54" s="29">
        <f t="shared" si="1"/>
        <v>0</v>
      </c>
      <c r="H54" s="127" t="s">
        <v>88</v>
      </c>
      <c r="I54" s="94" t="s">
        <v>51</v>
      </c>
    </row>
    <row r="55" spans="1:9" ht="12.75" x14ac:dyDescent="0.2">
      <c r="A55" s="123">
        <v>152032006</v>
      </c>
      <c r="B55" s="133" t="s">
        <v>14</v>
      </c>
      <c r="C55" s="82" t="s">
        <v>210</v>
      </c>
      <c r="D55" s="28"/>
      <c r="E55" s="29">
        <f t="shared" si="0"/>
        <v>0</v>
      </c>
      <c r="F55" s="30"/>
      <c r="G55" s="29">
        <f t="shared" si="1"/>
        <v>0</v>
      </c>
      <c r="H55" s="127" t="s">
        <v>88</v>
      </c>
      <c r="I55" s="94" t="s">
        <v>51</v>
      </c>
    </row>
    <row r="56" spans="1:9" ht="12.75" x14ac:dyDescent="0.2">
      <c r="A56" s="123">
        <v>152032006</v>
      </c>
      <c r="B56" s="133" t="s">
        <v>14</v>
      </c>
      <c r="C56" s="82" t="s">
        <v>213</v>
      </c>
      <c r="D56" s="28"/>
      <c r="E56" s="29">
        <f t="shared" si="0"/>
        <v>0</v>
      </c>
      <c r="F56" s="30"/>
      <c r="G56" s="29">
        <f t="shared" si="1"/>
        <v>0</v>
      </c>
      <c r="H56" s="127" t="s">
        <v>88</v>
      </c>
      <c r="I56" s="94" t="s">
        <v>51</v>
      </c>
    </row>
    <row r="57" spans="1:9" ht="12.75" x14ac:dyDescent="0.2">
      <c r="A57" s="123">
        <v>152032006</v>
      </c>
      <c r="B57" s="133" t="s">
        <v>14</v>
      </c>
      <c r="C57" s="82" t="s">
        <v>216</v>
      </c>
      <c r="D57" s="28"/>
      <c r="E57" s="29">
        <f t="shared" si="0"/>
        <v>0</v>
      </c>
      <c r="F57" s="30"/>
      <c r="G57" s="29">
        <f t="shared" si="1"/>
        <v>0</v>
      </c>
      <c r="H57" s="127" t="s">
        <v>88</v>
      </c>
      <c r="I57" s="94" t="s">
        <v>51</v>
      </c>
    </row>
    <row r="58" spans="1:9" ht="12.75" x14ac:dyDescent="0.2">
      <c r="A58" s="136">
        <v>152032006</v>
      </c>
      <c r="B58" s="140" t="s">
        <v>14</v>
      </c>
      <c r="C58" s="21" t="s">
        <v>219</v>
      </c>
      <c r="D58" s="101"/>
      <c r="E58" s="23">
        <f t="shared" si="0"/>
        <v>0</v>
      </c>
      <c r="F58" s="149"/>
      <c r="G58" s="23">
        <f t="shared" si="1"/>
        <v>0</v>
      </c>
      <c r="H58" s="138" t="s">
        <v>88</v>
      </c>
      <c r="I58" s="107" t="s">
        <v>51</v>
      </c>
    </row>
    <row r="59" spans="1:9" ht="12.75" x14ac:dyDescent="0.2">
      <c r="A59" s="12">
        <v>281202006</v>
      </c>
      <c r="B59" s="13" t="s">
        <v>14</v>
      </c>
      <c r="C59" s="14" t="s">
        <v>224</v>
      </c>
      <c r="D59" s="100"/>
      <c r="E59" s="16">
        <f t="shared" si="0"/>
        <v>0</v>
      </c>
      <c r="F59" s="144"/>
      <c r="G59" s="16">
        <f t="shared" si="1"/>
        <v>0</v>
      </c>
      <c r="H59" s="139" t="s">
        <v>88</v>
      </c>
      <c r="I59" s="119" t="s">
        <v>51</v>
      </c>
    </row>
    <row r="60" spans="1:9" ht="12.75" x14ac:dyDescent="0.2">
      <c r="A60" s="123">
        <v>281202006</v>
      </c>
      <c r="B60" s="133" t="s">
        <v>14</v>
      </c>
      <c r="C60" s="82" t="s">
        <v>227</v>
      </c>
      <c r="D60" s="28"/>
      <c r="E60" s="29">
        <f t="shared" si="0"/>
        <v>0</v>
      </c>
      <c r="F60" s="30"/>
      <c r="G60" s="29">
        <f t="shared" si="1"/>
        <v>0</v>
      </c>
      <c r="H60" s="127" t="s">
        <v>88</v>
      </c>
      <c r="I60" s="94" t="s">
        <v>51</v>
      </c>
    </row>
    <row r="61" spans="1:9" ht="12.75" x14ac:dyDescent="0.2">
      <c r="A61" s="123">
        <v>281202006</v>
      </c>
      <c r="B61" s="133" t="s">
        <v>14</v>
      </c>
      <c r="C61" s="82" t="s">
        <v>230</v>
      </c>
      <c r="D61" s="28"/>
      <c r="E61" s="29">
        <f t="shared" si="0"/>
        <v>0</v>
      </c>
      <c r="F61" s="30"/>
      <c r="G61" s="29">
        <f t="shared" si="1"/>
        <v>0</v>
      </c>
      <c r="H61" s="127" t="s">
        <v>88</v>
      </c>
      <c r="I61" s="94" t="s">
        <v>51</v>
      </c>
    </row>
    <row r="62" spans="1:9" ht="12.75" x14ac:dyDescent="0.2">
      <c r="A62" s="123">
        <v>281202006</v>
      </c>
      <c r="B62" s="133" t="s">
        <v>14</v>
      </c>
      <c r="C62" s="82" t="s">
        <v>231</v>
      </c>
      <c r="D62" s="28"/>
      <c r="E62" s="29">
        <f t="shared" si="0"/>
        <v>0</v>
      </c>
      <c r="F62" s="30"/>
      <c r="G62" s="29">
        <f t="shared" si="1"/>
        <v>0</v>
      </c>
      <c r="H62" s="127" t="s">
        <v>88</v>
      </c>
      <c r="I62" s="94" t="s">
        <v>51</v>
      </c>
    </row>
    <row r="63" spans="1:9" ht="12.75" x14ac:dyDescent="0.2">
      <c r="A63" s="123">
        <v>281202006</v>
      </c>
      <c r="B63" s="133" t="s">
        <v>14</v>
      </c>
      <c r="C63" s="82" t="s">
        <v>233</v>
      </c>
      <c r="D63" s="28"/>
      <c r="E63" s="29">
        <f t="shared" si="0"/>
        <v>0</v>
      </c>
      <c r="F63" s="30"/>
      <c r="G63" s="29">
        <f t="shared" si="1"/>
        <v>0</v>
      </c>
      <c r="H63" s="127" t="s">
        <v>88</v>
      </c>
      <c r="I63" s="94" t="s">
        <v>51</v>
      </c>
    </row>
    <row r="64" spans="1:9" ht="12.75" x14ac:dyDescent="0.2">
      <c r="A64" s="123">
        <v>281202006</v>
      </c>
      <c r="B64" s="133" t="s">
        <v>14</v>
      </c>
      <c r="C64" s="82" t="s">
        <v>235</v>
      </c>
      <c r="D64" s="28"/>
      <c r="E64" s="29">
        <f t="shared" si="0"/>
        <v>0</v>
      </c>
      <c r="F64" s="30"/>
      <c r="G64" s="29">
        <f t="shared" si="1"/>
        <v>0</v>
      </c>
      <c r="H64" s="127" t="s">
        <v>88</v>
      </c>
      <c r="I64" s="94" t="s">
        <v>51</v>
      </c>
    </row>
    <row r="65" spans="1:9" ht="12.75" x14ac:dyDescent="0.2">
      <c r="A65" s="123">
        <v>281202006</v>
      </c>
      <c r="B65" s="133" t="s">
        <v>14</v>
      </c>
      <c r="C65" s="82" t="s">
        <v>237</v>
      </c>
      <c r="D65" s="28"/>
      <c r="E65" s="29">
        <f t="shared" si="0"/>
        <v>0</v>
      </c>
      <c r="F65" s="30"/>
      <c r="G65" s="29">
        <f t="shared" si="1"/>
        <v>0</v>
      </c>
      <c r="H65" s="127" t="s">
        <v>88</v>
      </c>
      <c r="I65" s="94" t="s">
        <v>51</v>
      </c>
    </row>
    <row r="66" spans="1:9" ht="12.75" x14ac:dyDescent="0.2">
      <c r="A66" s="123">
        <v>281202006</v>
      </c>
      <c r="B66" s="133" t="s">
        <v>14</v>
      </c>
      <c r="C66" s="82" t="s">
        <v>239</v>
      </c>
      <c r="D66" s="28"/>
      <c r="E66" s="29">
        <f t="shared" si="0"/>
        <v>0</v>
      </c>
      <c r="F66" s="30"/>
      <c r="G66" s="29">
        <f t="shared" si="1"/>
        <v>0</v>
      </c>
      <c r="H66" s="127" t="s">
        <v>88</v>
      </c>
      <c r="I66" s="94" t="s">
        <v>51</v>
      </c>
    </row>
    <row r="67" spans="1:9" ht="12.75" x14ac:dyDescent="0.2">
      <c r="A67" s="123">
        <v>281202006</v>
      </c>
      <c r="B67" s="133" t="s">
        <v>14</v>
      </c>
      <c r="C67" s="82" t="s">
        <v>241</v>
      </c>
      <c r="D67" s="28"/>
      <c r="E67" s="29">
        <f t="shared" si="0"/>
        <v>0</v>
      </c>
      <c r="F67" s="30"/>
      <c r="G67" s="29">
        <f t="shared" si="1"/>
        <v>0</v>
      </c>
      <c r="H67" s="127" t="s">
        <v>88</v>
      </c>
      <c r="I67" s="94" t="s">
        <v>51</v>
      </c>
    </row>
    <row r="68" spans="1:9" ht="12.75" x14ac:dyDescent="0.2">
      <c r="A68" s="123">
        <v>281202006</v>
      </c>
      <c r="B68" s="133" t="s">
        <v>14</v>
      </c>
      <c r="C68" s="82" t="s">
        <v>243</v>
      </c>
      <c r="D68" s="28"/>
      <c r="E68" s="29">
        <f t="shared" si="0"/>
        <v>0</v>
      </c>
      <c r="F68" s="30"/>
      <c r="G68" s="29">
        <f t="shared" si="1"/>
        <v>0</v>
      </c>
      <c r="H68" s="127" t="s">
        <v>88</v>
      </c>
      <c r="I68" s="94" t="s">
        <v>51</v>
      </c>
    </row>
    <row r="69" spans="1:9" ht="12.75" x14ac:dyDescent="0.2">
      <c r="A69" s="123">
        <v>281202006</v>
      </c>
      <c r="B69" s="133" t="s">
        <v>14</v>
      </c>
      <c r="C69" s="82" t="s">
        <v>245</v>
      </c>
      <c r="D69" s="28"/>
      <c r="E69" s="29">
        <f t="shared" si="0"/>
        <v>0</v>
      </c>
      <c r="F69" s="30"/>
      <c r="G69" s="29">
        <f t="shared" si="1"/>
        <v>0</v>
      </c>
      <c r="H69" s="127" t="s">
        <v>88</v>
      </c>
      <c r="I69" s="94" t="s">
        <v>51</v>
      </c>
    </row>
    <row r="70" spans="1:9" ht="12.75" x14ac:dyDescent="0.2">
      <c r="A70" s="123">
        <v>281202006</v>
      </c>
      <c r="B70" s="133" t="s">
        <v>14</v>
      </c>
      <c r="C70" s="82" t="s">
        <v>247</v>
      </c>
      <c r="D70" s="28"/>
      <c r="E70" s="29">
        <f t="shared" si="0"/>
        <v>0</v>
      </c>
      <c r="F70" s="30"/>
      <c r="G70" s="29">
        <f t="shared" si="1"/>
        <v>0</v>
      </c>
      <c r="H70" s="127" t="s">
        <v>88</v>
      </c>
      <c r="I70" s="94" t="s">
        <v>51</v>
      </c>
    </row>
    <row r="71" spans="1:9" ht="12.75" x14ac:dyDescent="0.2">
      <c r="A71" s="123">
        <v>281202006</v>
      </c>
      <c r="B71" s="133" t="s">
        <v>14</v>
      </c>
      <c r="C71" s="82" t="s">
        <v>249</v>
      </c>
      <c r="D71" s="28"/>
      <c r="E71" s="29">
        <f t="shared" si="0"/>
        <v>0</v>
      </c>
      <c r="F71" s="30"/>
      <c r="G71" s="29">
        <f t="shared" si="1"/>
        <v>0</v>
      </c>
      <c r="H71" s="127" t="s">
        <v>88</v>
      </c>
      <c r="I71" s="94" t="s">
        <v>51</v>
      </c>
    </row>
    <row r="72" spans="1:9" ht="12.75" x14ac:dyDescent="0.2">
      <c r="A72" s="136">
        <v>281202006</v>
      </c>
      <c r="B72" s="140" t="s">
        <v>14</v>
      </c>
      <c r="C72" s="21" t="s">
        <v>251</v>
      </c>
      <c r="D72" s="101"/>
      <c r="E72" s="23">
        <f t="shared" si="0"/>
        <v>0</v>
      </c>
      <c r="F72" s="149"/>
      <c r="G72" s="23">
        <f t="shared" si="1"/>
        <v>0</v>
      </c>
      <c r="H72" s="138" t="s">
        <v>88</v>
      </c>
      <c r="I72" s="107" t="s">
        <v>51</v>
      </c>
    </row>
    <row r="73" spans="1:9" ht="12.75" x14ac:dyDescent="0.2">
      <c r="A73" s="12">
        <v>87842006</v>
      </c>
      <c r="B73" s="13" t="s">
        <v>14</v>
      </c>
      <c r="C73" s="14" t="s">
        <v>253</v>
      </c>
      <c r="D73" s="100"/>
      <c r="E73" s="16">
        <f t="shared" si="0"/>
        <v>0</v>
      </c>
      <c r="F73" s="144"/>
      <c r="G73" s="16">
        <f t="shared" si="1"/>
        <v>0</v>
      </c>
      <c r="H73" s="139" t="s">
        <v>88</v>
      </c>
      <c r="I73" s="119" t="s">
        <v>51</v>
      </c>
    </row>
    <row r="74" spans="1:9" ht="12.75" x14ac:dyDescent="0.2">
      <c r="A74" s="123">
        <v>87842006</v>
      </c>
      <c r="B74" s="133" t="s">
        <v>14</v>
      </c>
      <c r="C74" s="82" t="s">
        <v>255</v>
      </c>
      <c r="D74" s="28"/>
      <c r="E74" s="29">
        <f t="shared" si="0"/>
        <v>0</v>
      </c>
      <c r="F74" s="30"/>
      <c r="G74" s="29">
        <f t="shared" si="1"/>
        <v>0</v>
      </c>
      <c r="H74" s="127" t="s">
        <v>88</v>
      </c>
      <c r="I74" s="94" t="s">
        <v>51</v>
      </c>
    </row>
    <row r="75" spans="1:9" ht="12.75" x14ac:dyDescent="0.2">
      <c r="A75" s="123">
        <v>87842006</v>
      </c>
      <c r="B75" s="133" t="s">
        <v>14</v>
      </c>
      <c r="C75" s="82" t="s">
        <v>256</v>
      </c>
      <c r="D75" s="28"/>
      <c r="E75" s="29">
        <f t="shared" si="0"/>
        <v>0</v>
      </c>
      <c r="F75" s="30"/>
      <c r="G75" s="29">
        <f t="shared" si="1"/>
        <v>0</v>
      </c>
      <c r="H75" s="127" t="s">
        <v>88</v>
      </c>
      <c r="I75" s="94" t="s">
        <v>51</v>
      </c>
    </row>
    <row r="76" spans="1:9" ht="12.75" x14ac:dyDescent="0.2">
      <c r="A76" s="123">
        <v>87842006</v>
      </c>
      <c r="B76" s="133" t="s">
        <v>14</v>
      </c>
      <c r="C76" s="82" t="s">
        <v>258</v>
      </c>
      <c r="D76" s="28"/>
      <c r="E76" s="29">
        <f t="shared" si="0"/>
        <v>0</v>
      </c>
      <c r="F76" s="30"/>
      <c r="G76" s="29">
        <f t="shared" si="1"/>
        <v>0</v>
      </c>
      <c r="H76" s="127" t="s">
        <v>88</v>
      </c>
      <c r="I76" s="94" t="s">
        <v>51</v>
      </c>
    </row>
    <row r="77" spans="1:9" ht="12.75" x14ac:dyDescent="0.2">
      <c r="A77" s="123">
        <v>87842006</v>
      </c>
      <c r="B77" s="133" t="s">
        <v>14</v>
      </c>
      <c r="C77" s="82" t="s">
        <v>260</v>
      </c>
      <c r="D77" s="28"/>
      <c r="E77" s="29">
        <f t="shared" si="0"/>
        <v>0</v>
      </c>
      <c r="F77" s="30"/>
      <c r="G77" s="29">
        <f t="shared" si="1"/>
        <v>0</v>
      </c>
      <c r="H77" s="127" t="s">
        <v>88</v>
      </c>
      <c r="I77" s="94" t="s">
        <v>51</v>
      </c>
    </row>
    <row r="78" spans="1:9" ht="12.75" x14ac:dyDescent="0.2">
      <c r="A78" s="123">
        <v>87842006</v>
      </c>
      <c r="B78" s="133" t="s">
        <v>14</v>
      </c>
      <c r="C78" s="82" t="s">
        <v>262</v>
      </c>
      <c r="D78" s="28"/>
      <c r="E78" s="29">
        <f t="shared" si="0"/>
        <v>0</v>
      </c>
      <c r="F78" s="30"/>
      <c r="G78" s="29">
        <f t="shared" si="1"/>
        <v>0</v>
      </c>
      <c r="H78" s="127" t="s">
        <v>88</v>
      </c>
      <c r="I78" s="94" t="s">
        <v>51</v>
      </c>
    </row>
    <row r="79" spans="1:9" ht="12.75" x14ac:dyDescent="0.2">
      <c r="A79" s="123">
        <v>87842006</v>
      </c>
      <c r="B79" s="133" t="s">
        <v>14</v>
      </c>
      <c r="C79" s="82" t="s">
        <v>264</v>
      </c>
      <c r="D79" s="28"/>
      <c r="E79" s="29">
        <f t="shared" si="0"/>
        <v>0</v>
      </c>
      <c r="F79" s="30"/>
      <c r="G79" s="29">
        <f t="shared" si="1"/>
        <v>0</v>
      </c>
      <c r="H79" s="127" t="s">
        <v>88</v>
      </c>
      <c r="I79" s="94" t="s">
        <v>51</v>
      </c>
    </row>
    <row r="80" spans="1:9" ht="12.75" x14ac:dyDescent="0.2">
      <c r="A80" s="123">
        <v>87842006</v>
      </c>
      <c r="B80" s="133" t="s">
        <v>14</v>
      </c>
      <c r="C80" s="82" t="s">
        <v>265</v>
      </c>
      <c r="D80" s="28"/>
      <c r="E80" s="29">
        <f t="shared" si="0"/>
        <v>0</v>
      </c>
      <c r="F80" s="30"/>
      <c r="G80" s="29">
        <f t="shared" si="1"/>
        <v>0</v>
      </c>
      <c r="H80" s="127" t="s">
        <v>88</v>
      </c>
      <c r="I80" s="94" t="s">
        <v>51</v>
      </c>
    </row>
    <row r="81" spans="1:9" ht="12.75" x14ac:dyDescent="0.2">
      <c r="A81" s="123">
        <v>87842006</v>
      </c>
      <c r="B81" s="133" t="s">
        <v>14</v>
      </c>
      <c r="C81" s="82" t="s">
        <v>267</v>
      </c>
      <c r="D81" s="28"/>
      <c r="E81" s="29">
        <f t="shared" si="0"/>
        <v>0</v>
      </c>
      <c r="F81" s="30"/>
      <c r="G81" s="29">
        <f t="shared" si="1"/>
        <v>0</v>
      </c>
      <c r="H81" s="127" t="s">
        <v>88</v>
      </c>
      <c r="I81" s="94" t="s">
        <v>51</v>
      </c>
    </row>
    <row r="82" spans="1:9" ht="12.75" x14ac:dyDescent="0.2">
      <c r="A82" s="123">
        <v>87842006</v>
      </c>
      <c r="B82" s="133" t="s">
        <v>14</v>
      </c>
      <c r="C82" s="82" t="s">
        <v>269</v>
      </c>
      <c r="D82" s="28"/>
      <c r="E82" s="29">
        <f t="shared" si="0"/>
        <v>0</v>
      </c>
      <c r="F82" s="30"/>
      <c r="G82" s="29">
        <f t="shared" si="1"/>
        <v>0</v>
      </c>
      <c r="H82" s="127" t="s">
        <v>88</v>
      </c>
      <c r="I82" s="94" t="s">
        <v>51</v>
      </c>
    </row>
    <row r="83" spans="1:9" ht="12.75" x14ac:dyDescent="0.2">
      <c r="A83" s="123">
        <v>87842006</v>
      </c>
      <c r="B83" s="133" t="s">
        <v>14</v>
      </c>
      <c r="C83" s="82" t="s">
        <v>271</v>
      </c>
      <c r="D83" s="28"/>
      <c r="E83" s="29">
        <f t="shared" si="0"/>
        <v>0</v>
      </c>
      <c r="F83" s="30"/>
      <c r="G83" s="29">
        <f t="shared" si="1"/>
        <v>0</v>
      </c>
      <c r="H83" s="127" t="s">
        <v>88</v>
      </c>
      <c r="I83" s="94" t="s">
        <v>51</v>
      </c>
    </row>
    <row r="84" spans="1:9" ht="12.75" x14ac:dyDescent="0.2">
      <c r="A84" s="123">
        <v>87842006</v>
      </c>
      <c r="B84" s="133" t="s">
        <v>14</v>
      </c>
      <c r="C84" s="82" t="s">
        <v>272</v>
      </c>
      <c r="D84" s="28"/>
      <c r="E84" s="29">
        <f t="shared" si="0"/>
        <v>0</v>
      </c>
      <c r="F84" s="30"/>
      <c r="G84" s="29">
        <f t="shared" si="1"/>
        <v>0</v>
      </c>
      <c r="H84" s="127" t="s">
        <v>88</v>
      </c>
      <c r="I84" s="94" t="s">
        <v>51</v>
      </c>
    </row>
    <row r="85" spans="1:9" ht="12.75" x14ac:dyDescent="0.2">
      <c r="A85" s="123">
        <v>87842006</v>
      </c>
      <c r="B85" s="133" t="s">
        <v>14</v>
      </c>
      <c r="C85" s="82" t="s">
        <v>274</v>
      </c>
      <c r="D85" s="28"/>
      <c r="E85" s="29">
        <f t="shared" si="0"/>
        <v>0</v>
      </c>
      <c r="F85" s="30"/>
      <c r="G85" s="29">
        <f t="shared" si="1"/>
        <v>0</v>
      </c>
      <c r="H85" s="127" t="s">
        <v>88</v>
      </c>
      <c r="I85" s="94" t="s">
        <v>51</v>
      </c>
    </row>
    <row r="86" spans="1:9" ht="12.75" x14ac:dyDescent="0.2">
      <c r="A86" s="123">
        <v>87842006</v>
      </c>
      <c r="B86" s="133" t="s">
        <v>14</v>
      </c>
      <c r="C86" s="82" t="s">
        <v>277</v>
      </c>
      <c r="D86" s="28"/>
      <c r="E86" s="29">
        <f t="shared" si="0"/>
        <v>0</v>
      </c>
      <c r="F86" s="30"/>
      <c r="G86" s="29">
        <f t="shared" si="1"/>
        <v>0</v>
      </c>
      <c r="H86" s="127" t="s">
        <v>88</v>
      </c>
      <c r="I86" s="94" t="s">
        <v>51</v>
      </c>
    </row>
    <row r="87" spans="1:9" ht="12.75" x14ac:dyDescent="0.2">
      <c r="A87" s="136">
        <v>87842006</v>
      </c>
      <c r="B87" s="140" t="s">
        <v>14</v>
      </c>
      <c r="C87" s="21" t="s">
        <v>278</v>
      </c>
      <c r="D87" s="101"/>
      <c r="E87" s="23">
        <f t="shared" si="0"/>
        <v>0</v>
      </c>
      <c r="F87" s="149"/>
      <c r="G87" s="23">
        <f t="shared" si="1"/>
        <v>0</v>
      </c>
      <c r="H87" s="138" t="s">
        <v>88</v>
      </c>
      <c r="I87" s="107" t="s">
        <v>51</v>
      </c>
    </row>
    <row r="88" spans="1:9" ht="12.75" x14ac:dyDescent="0.2">
      <c r="A88" s="12">
        <v>49532005</v>
      </c>
      <c r="B88" s="13" t="s">
        <v>14</v>
      </c>
      <c r="C88" s="14" t="s">
        <v>40</v>
      </c>
      <c r="D88" s="100"/>
      <c r="E88" s="16">
        <f t="shared" si="0"/>
        <v>0</v>
      </c>
      <c r="F88" s="144"/>
      <c r="G88" s="16">
        <f t="shared" si="1"/>
        <v>0</v>
      </c>
      <c r="H88" s="14" t="s">
        <v>41</v>
      </c>
      <c r="I88" s="49"/>
    </row>
    <row r="89" spans="1:9" ht="12.75" x14ac:dyDescent="0.2">
      <c r="A89" s="123">
        <v>49532005</v>
      </c>
      <c r="B89" s="133" t="s">
        <v>14</v>
      </c>
      <c r="C89" s="82" t="s">
        <v>281</v>
      </c>
      <c r="D89" s="28"/>
      <c r="E89" s="29">
        <f t="shared" si="0"/>
        <v>0</v>
      </c>
      <c r="F89" s="30"/>
      <c r="G89" s="29">
        <f t="shared" si="1"/>
        <v>0</v>
      </c>
      <c r="H89" s="127" t="s">
        <v>41</v>
      </c>
      <c r="I89" s="112"/>
    </row>
    <row r="90" spans="1:9" ht="12.75" x14ac:dyDescent="0.2">
      <c r="A90" s="123">
        <v>49532005</v>
      </c>
      <c r="B90" s="133" t="s">
        <v>14</v>
      </c>
      <c r="C90" s="82" t="s">
        <v>283</v>
      </c>
      <c r="D90" s="28"/>
      <c r="E90" s="29">
        <f t="shared" si="0"/>
        <v>0</v>
      </c>
      <c r="F90" s="30"/>
      <c r="G90" s="29">
        <f t="shared" si="1"/>
        <v>0</v>
      </c>
      <c r="H90" s="127" t="s">
        <v>41</v>
      </c>
      <c r="I90" s="112"/>
    </row>
    <row r="91" spans="1:9" ht="12.75" x14ac:dyDescent="0.2">
      <c r="A91" s="123">
        <v>49532005</v>
      </c>
      <c r="B91" s="133" t="s">
        <v>14</v>
      </c>
      <c r="C91" s="82" t="s">
        <v>285</v>
      </c>
      <c r="D91" s="28"/>
      <c r="E91" s="29">
        <f t="shared" si="0"/>
        <v>0</v>
      </c>
      <c r="F91" s="30"/>
      <c r="G91" s="29">
        <f t="shared" si="1"/>
        <v>0</v>
      </c>
      <c r="H91" s="127" t="s">
        <v>41</v>
      </c>
      <c r="I91" s="112"/>
    </row>
    <row r="92" spans="1:9" ht="12.75" x14ac:dyDescent="0.2">
      <c r="A92" s="123">
        <v>49532005</v>
      </c>
      <c r="B92" s="133" t="s">
        <v>14</v>
      </c>
      <c r="C92" s="82" t="s">
        <v>287</v>
      </c>
      <c r="D92" s="28"/>
      <c r="E92" s="29">
        <f t="shared" si="0"/>
        <v>0</v>
      </c>
      <c r="F92" s="30"/>
      <c r="G92" s="29">
        <f t="shared" si="1"/>
        <v>0</v>
      </c>
      <c r="H92" s="127" t="s">
        <v>41</v>
      </c>
      <c r="I92" s="112"/>
    </row>
    <row r="93" spans="1:9" ht="12.75" x14ac:dyDescent="0.2">
      <c r="A93" s="123">
        <v>49532005</v>
      </c>
      <c r="B93" s="133" t="s">
        <v>14</v>
      </c>
      <c r="C93" s="82" t="s">
        <v>289</v>
      </c>
      <c r="D93" s="28"/>
      <c r="E93" s="29">
        <f t="shared" si="0"/>
        <v>0</v>
      </c>
      <c r="F93" s="30"/>
      <c r="G93" s="29">
        <f t="shared" si="1"/>
        <v>0</v>
      </c>
      <c r="H93" s="127" t="s">
        <v>41</v>
      </c>
      <c r="I93" s="112"/>
    </row>
    <row r="94" spans="1:9" ht="12.75" x14ac:dyDescent="0.2">
      <c r="A94" s="123">
        <v>49532005</v>
      </c>
      <c r="B94" s="133" t="s">
        <v>14</v>
      </c>
      <c r="C94" s="82" t="s">
        <v>290</v>
      </c>
      <c r="D94" s="28"/>
      <c r="E94" s="29">
        <f t="shared" si="0"/>
        <v>0</v>
      </c>
      <c r="F94" s="30"/>
      <c r="G94" s="29">
        <f t="shared" si="1"/>
        <v>0</v>
      </c>
      <c r="H94" s="127" t="s">
        <v>41</v>
      </c>
      <c r="I94" s="112"/>
    </row>
    <row r="95" spans="1:9" ht="12.75" x14ac:dyDescent="0.2">
      <c r="A95" s="123">
        <v>49532005</v>
      </c>
      <c r="B95" s="133" t="s">
        <v>14</v>
      </c>
      <c r="C95" s="82" t="s">
        <v>292</v>
      </c>
      <c r="D95" s="28"/>
      <c r="E95" s="29">
        <f t="shared" si="0"/>
        <v>0</v>
      </c>
      <c r="F95" s="30"/>
      <c r="G95" s="29">
        <f t="shared" si="1"/>
        <v>0</v>
      </c>
      <c r="H95" s="127" t="s">
        <v>41</v>
      </c>
      <c r="I95" s="112"/>
    </row>
    <row r="96" spans="1:9" ht="12.75" x14ac:dyDescent="0.2">
      <c r="A96" s="123">
        <v>49532005</v>
      </c>
      <c r="B96" s="133" t="s">
        <v>14</v>
      </c>
      <c r="C96" s="82" t="s">
        <v>294</v>
      </c>
      <c r="D96" s="28"/>
      <c r="E96" s="29">
        <f t="shared" si="0"/>
        <v>0</v>
      </c>
      <c r="F96" s="30"/>
      <c r="G96" s="29">
        <f t="shared" si="1"/>
        <v>0</v>
      </c>
      <c r="H96" s="127" t="s">
        <v>41</v>
      </c>
      <c r="I96" s="112"/>
    </row>
    <row r="97" spans="1:9" ht="12.75" x14ac:dyDescent="0.2">
      <c r="A97" s="123">
        <v>49532005</v>
      </c>
      <c r="B97" s="133" t="s">
        <v>14</v>
      </c>
      <c r="C97" s="82" t="s">
        <v>296</v>
      </c>
      <c r="D97" s="28"/>
      <c r="E97" s="29">
        <f t="shared" si="0"/>
        <v>0</v>
      </c>
      <c r="F97" s="30"/>
      <c r="G97" s="29">
        <f t="shared" si="1"/>
        <v>0</v>
      </c>
      <c r="H97" s="127" t="s">
        <v>41</v>
      </c>
      <c r="I97" s="112"/>
    </row>
    <row r="98" spans="1:9" ht="12.75" x14ac:dyDescent="0.2">
      <c r="A98" s="152">
        <v>49532005</v>
      </c>
      <c r="B98" s="70" t="s">
        <v>14</v>
      </c>
      <c r="C98" s="65" t="s">
        <v>298</v>
      </c>
      <c r="D98" s="153"/>
      <c r="E98" s="154">
        <f t="shared" si="0"/>
        <v>0</v>
      </c>
      <c r="F98" s="155"/>
      <c r="G98" s="154">
        <f t="shared" si="1"/>
        <v>0</v>
      </c>
      <c r="H98" s="131" t="s">
        <v>41</v>
      </c>
      <c r="I98" s="81"/>
    </row>
    <row r="99" spans="1:9" ht="12.75" x14ac:dyDescent="0.2">
      <c r="A99" s="26"/>
      <c r="B99" s="26"/>
      <c r="C99" s="27"/>
      <c r="D99" s="28"/>
      <c r="E99" s="29">
        <f t="shared" si="0"/>
        <v>0</v>
      </c>
      <c r="F99" s="30"/>
      <c r="G99" s="29">
        <f t="shared" si="1"/>
        <v>0</v>
      </c>
      <c r="H99" s="27"/>
      <c r="I99" s="26"/>
    </row>
    <row r="100" spans="1:9" ht="12.75" x14ac:dyDescent="0.2">
      <c r="A100" s="26"/>
      <c r="B100" s="26"/>
      <c r="C100" s="27"/>
      <c r="D100" s="28"/>
      <c r="E100" s="29">
        <f t="shared" si="0"/>
        <v>0</v>
      </c>
      <c r="F100" s="30"/>
      <c r="G100" s="29">
        <f t="shared" si="1"/>
        <v>0</v>
      </c>
      <c r="H100" s="27"/>
      <c r="I100" s="26"/>
    </row>
    <row r="101" spans="1:9" ht="12.75" x14ac:dyDescent="0.2">
      <c r="A101" s="31"/>
      <c r="B101" s="31"/>
      <c r="C101" s="32"/>
      <c r="D101" s="33"/>
      <c r="E101" s="34">
        <f t="shared" si="0"/>
        <v>0</v>
      </c>
      <c r="F101" s="35"/>
      <c r="G101" s="34">
        <f t="shared" si="1"/>
        <v>0</v>
      </c>
      <c r="H101" s="32"/>
      <c r="I101" s="31"/>
    </row>
    <row r="102" spans="1:9" ht="12.75" x14ac:dyDescent="0.2">
      <c r="A102" s="31"/>
      <c r="B102" s="31"/>
      <c r="C102" s="32"/>
      <c r="D102" s="33"/>
      <c r="E102" s="34">
        <f t="shared" si="0"/>
        <v>0</v>
      </c>
      <c r="F102" s="35"/>
      <c r="G102" s="34">
        <f t="shared" si="1"/>
        <v>0</v>
      </c>
      <c r="H102" s="32"/>
      <c r="I102" s="31"/>
    </row>
    <row r="103" spans="1:9" ht="12.75" x14ac:dyDescent="0.2">
      <c r="A103" s="31"/>
      <c r="B103" s="31"/>
      <c r="C103" s="32"/>
      <c r="D103" s="33"/>
      <c r="E103" s="34">
        <f t="shared" si="0"/>
        <v>0</v>
      </c>
      <c r="F103" s="35"/>
      <c r="G103" s="34">
        <f t="shared" si="1"/>
        <v>0</v>
      </c>
      <c r="H103" s="32"/>
      <c r="I103" s="31"/>
    </row>
    <row r="104" spans="1:9" ht="12.75" x14ac:dyDescent="0.2">
      <c r="A104" s="31"/>
      <c r="B104" s="31"/>
      <c r="C104" s="32"/>
      <c r="D104" s="33"/>
      <c r="E104" s="34">
        <f t="shared" si="0"/>
        <v>0</v>
      </c>
      <c r="F104" s="35"/>
      <c r="G104" s="34">
        <f t="shared" si="1"/>
        <v>0</v>
      </c>
      <c r="H104" s="32"/>
      <c r="I104" s="31"/>
    </row>
    <row r="105" spans="1:9" ht="12.75" x14ac:dyDescent="0.2">
      <c r="A105" s="31"/>
      <c r="B105" s="31"/>
      <c r="C105" s="32"/>
      <c r="D105" s="33"/>
      <c r="E105" s="34">
        <f t="shared" si="0"/>
        <v>0</v>
      </c>
      <c r="F105" s="35"/>
      <c r="G105" s="34">
        <f t="shared" si="1"/>
        <v>0</v>
      </c>
      <c r="H105" s="32"/>
      <c r="I105" s="31"/>
    </row>
    <row r="106" spans="1:9" ht="12.75" x14ac:dyDescent="0.2">
      <c r="A106" s="31"/>
      <c r="B106" s="31"/>
      <c r="C106" s="32"/>
      <c r="D106" s="33"/>
      <c r="E106" s="34">
        <f t="shared" si="0"/>
        <v>0</v>
      </c>
      <c r="F106" s="35"/>
      <c r="G106" s="34">
        <f t="shared" si="1"/>
        <v>0</v>
      </c>
      <c r="H106" s="32"/>
      <c r="I106" s="31"/>
    </row>
    <row r="107" spans="1:9" ht="12.75" x14ac:dyDescent="0.2">
      <c r="A107" s="31"/>
      <c r="B107" s="31"/>
      <c r="C107" s="32"/>
      <c r="D107" s="33"/>
      <c r="E107" s="34">
        <f t="shared" si="0"/>
        <v>0</v>
      </c>
      <c r="F107" s="35"/>
      <c r="G107" s="34">
        <f t="shared" si="1"/>
        <v>0</v>
      </c>
      <c r="H107" s="32"/>
      <c r="I107" s="31"/>
    </row>
    <row r="108" spans="1:9" ht="12.75" x14ac:dyDescent="0.2">
      <c r="A108" s="31"/>
      <c r="B108" s="31"/>
      <c r="C108" s="32"/>
      <c r="D108" s="33"/>
      <c r="E108" s="34">
        <f t="shared" si="0"/>
        <v>0</v>
      </c>
      <c r="F108" s="35"/>
      <c r="G108" s="34">
        <f t="shared" si="1"/>
        <v>0</v>
      </c>
      <c r="H108" s="32"/>
      <c r="I108" s="31"/>
    </row>
    <row r="109" spans="1:9" ht="12.75" x14ac:dyDescent="0.2">
      <c r="A109" s="31"/>
      <c r="B109" s="31"/>
      <c r="C109" s="32"/>
      <c r="D109" s="33"/>
      <c r="E109" s="34">
        <f t="shared" si="0"/>
        <v>0</v>
      </c>
      <c r="F109" s="35"/>
      <c r="G109" s="34">
        <f t="shared" si="1"/>
        <v>0</v>
      </c>
      <c r="H109" s="32"/>
      <c r="I109" s="31"/>
    </row>
    <row r="110" spans="1:9" ht="12.75" x14ac:dyDescent="0.2">
      <c r="A110" s="31"/>
      <c r="B110" s="31"/>
      <c r="C110" s="32"/>
      <c r="D110" s="33"/>
      <c r="E110" s="34">
        <f t="shared" si="0"/>
        <v>0</v>
      </c>
      <c r="F110" s="35"/>
      <c r="G110" s="34">
        <f t="shared" si="1"/>
        <v>0</v>
      </c>
      <c r="H110" s="32"/>
      <c r="I110" s="31"/>
    </row>
    <row r="111" spans="1:9" ht="12.75" x14ac:dyDescent="0.2">
      <c r="A111" s="31"/>
      <c r="B111" s="31"/>
      <c r="C111" s="32"/>
      <c r="D111" s="33"/>
      <c r="E111" s="34">
        <f t="shared" si="0"/>
        <v>0</v>
      </c>
      <c r="F111" s="35"/>
      <c r="G111" s="34">
        <f t="shared" si="1"/>
        <v>0</v>
      </c>
      <c r="H111" s="32"/>
      <c r="I111" s="31"/>
    </row>
    <row r="112" spans="1:9" ht="12.75" x14ac:dyDescent="0.2">
      <c r="A112" s="31"/>
      <c r="B112" s="31"/>
      <c r="C112" s="32"/>
      <c r="D112" s="33"/>
      <c r="E112" s="34">
        <f t="shared" si="0"/>
        <v>0</v>
      </c>
      <c r="F112" s="35"/>
      <c r="G112" s="34">
        <f t="shared" si="1"/>
        <v>0</v>
      </c>
      <c r="H112" s="32"/>
      <c r="I112" s="31"/>
    </row>
    <row r="113" spans="1:9" ht="12.75" x14ac:dyDescent="0.2">
      <c r="A113" s="31"/>
      <c r="B113" s="31"/>
      <c r="C113" s="32"/>
      <c r="D113" s="33"/>
      <c r="E113" s="34">
        <f t="shared" si="0"/>
        <v>0</v>
      </c>
      <c r="F113" s="35"/>
      <c r="G113" s="34">
        <f t="shared" si="1"/>
        <v>0</v>
      </c>
      <c r="H113" s="32"/>
      <c r="I113" s="31"/>
    </row>
    <row r="114" spans="1:9" ht="12.75" x14ac:dyDescent="0.2">
      <c r="A114" s="31"/>
      <c r="B114" s="31"/>
      <c r="C114" s="32"/>
      <c r="D114" s="33"/>
      <c r="E114" s="34">
        <f t="shared" si="0"/>
        <v>0</v>
      </c>
      <c r="F114" s="35"/>
      <c r="G114" s="34">
        <f t="shared" si="1"/>
        <v>0</v>
      </c>
      <c r="H114" s="32"/>
      <c r="I114" s="31"/>
    </row>
    <row r="115" spans="1:9" ht="12.75" x14ac:dyDescent="0.2">
      <c r="A115" s="31"/>
      <c r="B115" s="31"/>
      <c r="C115" s="32"/>
      <c r="D115" s="33"/>
      <c r="E115" s="34">
        <f t="shared" si="0"/>
        <v>0</v>
      </c>
      <c r="F115" s="35"/>
      <c r="G115" s="34">
        <f t="shared" si="1"/>
        <v>0</v>
      </c>
      <c r="H115" s="32"/>
      <c r="I115" s="31"/>
    </row>
    <row r="116" spans="1:9" ht="12.75" x14ac:dyDescent="0.2">
      <c r="A116" s="31"/>
      <c r="B116" s="31"/>
      <c r="C116" s="32"/>
      <c r="D116" s="33"/>
      <c r="E116" s="34">
        <f t="shared" si="0"/>
        <v>0</v>
      </c>
      <c r="F116" s="35"/>
      <c r="G116" s="34">
        <f t="shared" si="1"/>
        <v>0</v>
      </c>
      <c r="H116" s="32"/>
      <c r="I116" s="31"/>
    </row>
    <row r="117" spans="1:9" ht="12.75" x14ac:dyDescent="0.2">
      <c r="A117" s="31"/>
      <c r="B117" s="31"/>
      <c r="C117" s="32"/>
      <c r="D117" s="33"/>
      <c r="E117" s="34">
        <f t="shared" si="0"/>
        <v>0</v>
      </c>
      <c r="F117" s="35"/>
      <c r="G117" s="34">
        <f t="shared" si="1"/>
        <v>0</v>
      </c>
      <c r="H117" s="32"/>
      <c r="I117" s="31"/>
    </row>
    <row r="118" spans="1:9" ht="12.75" x14ac:dyDescent="0.2">
      <c r="A118" s="31"/>
      <c r="B118" s="31"/>
      <c r="C118" s="32"/>
      <c r="D118" s="33"/>
      <c r="E118" s="34">
        <f t="shared" si="0"/>
        <v>0</v>
      </c>
      <c r="F118" s="35"/>
      <c r="G118" s="34">
        <f t="shared" si="1"/>
        <v>0</v>
      </c>
      <c r="H118" s="32"/>
      <c r="I118" s="31"/>
    </row>
    <row r="119" spans="1:9" ht="12.75" x14ac:dyDescent="0.2">
      <c r="A119" s="31"/>
      <c r="B119" s="31"/>
      <c r="C119" s="32"/>
      <c r="D119" s="33"/>
      <c r="E119" s="34">
        <f t="shared" si="0"/>
        <v>0</v>
      </c>
      <c r="F119" s="35"/>
      <c r="G119" s="34">
        <f t="shared" si="1"/>
        <v>0</v>
      </c>
      <c r="H119" s="32"/>
      <c r="I119" s="31"/>
    </row>
    <row r="120" spans="1:9" ht="12.75" x14ac:dyDescent="0.2">
      <c r="A120" s="31"/>
      <c r="B120" s="31"/>
      <c r="C120" s="32"/>
      <c r="D120" s="33"/>
      <c r="E120" s="34">
        <f t="shared" si="0"/>
        <v>0</v>
      </c>
      <c r="F120" s="35"/>
      <c r="G120" s="34">
        <f t="shared" si="1"/>
        <v>0</v>
      </c>
      <c r="H120" s="32"/>
      <c r="I120" s="31"/>
    </row>
    <row r="121" spans="1:9" ht="12.75" x14ac:dyDescent="0.2">
      <c r="A121" s="31"/>
      <c r="B121" s="31"/>
      <c r="C121" s="32"/>
      <c r="D121" s="33"/>
      <c r="E121" s="34">
        <f t="shared" si="0"/>
        <v>0</v>
      </c>
      <c r="F121" s="35"/>
      <c r="G121" s="34">
        <f t="shared" si="1"/>
        <v>0</v>
      </c>
      <c r="H121" s="32"/>
      <c r="I121" s="31"/>
    </row>
    <row r="122" spans="1:9" ht="12.75" x14ac:dyDescent="0.2">
      <c r="A122" s="31"/>
      <c r="B122" s="31"/>
      <c r="C122" s="32"/>
      <c r="D122" s="33"/>
      <c r="E122" s="34">
        <f t="shared" si="0"/>
        <v>0</v>
      </c>
      <c r="F122" s="35"/>
      <c r="G122" s="34">
        <f t="shared" si="1"/>
        <v>0</v>
      </c>
      <c r="H122" s="32"/>
      <c r="I122" s="31"/>
    </row>
    <row r="123" spans="1:9" ht="12.75" x14ac:dyDescent="0.2">
      <c r="A123" s="31"/>
      <c r="B123" s="31"/>
      <c r="C123" s="32"/>
      <c r="D123" s="33"/>
      <c r="E123" s="34">
        <f t="shared" si="0"/>
        <v>0</v>
      </c>
      <c r="F123" s="35"/>
      <c r="G123" s="34">
        <f t="shared" si="1"/>
        <v>0</v>
      </c>
      <c r="H123" s="32"/>
      <c r="I123" s="31"/>
    </row>
    <row r="124" spans="1:9" ht="12.75" x14ac:dyDescent="0.2">
      <c r="A124" s="31"/>
      <c r="B124" s="31"/>
      <c r="C124" s="32"/>
      <c r="D124" s="33"/>
      <c r="E124" s="34">
        <f t="shared" si="0"/>
        <v>0</v>
      </c>
      <c r="F124" s="35"/>
      <c r="G124" s="34">
        <f t="shared" si="1"/>
        <v>0</v>
      </c>
      <c r="H124" s="32"/>
      <c r="I124" s="31"/>
    </row>
    <row r="125" spans="1:9" ht="12.75" x14ac:dyDescent="0.2">
      <c r="A125" s="31"/>
      <c r="B125" s="31"/>
      <c r="C125" s="32"/>
      <c r="D125" s="33"/>
      <c r="E125" s="34">
        <f t="shared" si="0"/>
        <v>0</v>
      </c>
      <c r="F125" s="35"/>
      <c r="G125" s="34">
        <f t="shared" si="1"/>
        <v>0</v>
      </c>
      <c r="H125" s="32"/>
      <c r="I125" s="31"/>
    </row>
    <row r="126" spans="1:9" ht="12.75" x14ac:dyDescent="0.2">
      <c r="A126" s="31"/>
      <c r="B126" s="31"/>
      <c r="C126" s="32"/>
      <c r="D126" s="33"/>
      <c r="E126" s="34">
        <f t="shared" si="0"/>
        <v>0</v>
      </c>
      <c r="F126" s="35"/>
      <c r="G126" s="34">
        <f t="shared" si="1"/>
        <v>0</v>
      </c>
      <c r="H126" s="32"/>
      <c r="I126" s="31"/>
    </row>
    <row r="127" spans="1:9" ht="12.75" x14ac:dyDescent="0.2">
      <c r="A127" s="31"/>
      <c r="B127" s="31"/>
      <c r="C127" s="32"/>
      <c r="D127" s="33"/>
      <c r="E127" s="34">
        <f t="shared" si="0"/>
        <v>0</v>
      </c>
      <c r="F127" s="35"/>
      <c r="G127" s="34">
        <f t="shared" si="1"/>
        <v>0</v>
      </c>
      <c r="H127" s="32"/>
      <c r="I127" s="31"/>
    </row>
    <row r="128" spans="1:9" ht="12.75" x14ac:dyDescent="0.2">
      <c r="A128" s="31"/>
      <c r="B128" s="31"/>
      <c r="C128" s="32"/>
      <c r="D128" s="33"/>
      <c r="E128" s="34">
        <f t="shared" si="0"/>
        <v>0</v>
      </c>
      <c r="F128" s="35"/>
      <c r="G128" s="34">
        <f t="shared" si="1"/>
        <v>0</v>
      </c>
      <c r="H128" s="32"/>
      <c r="I128" s="31"/>
    </row>
    <row r="129" spans="1:9" ht="12.75" x14ac:dyDescent="0.2">
      <c r="A129" s="31"/>
      <c r="B129" s="31"/>
      <c r="C129" s="32"/>
      <c r="D129" s="33"/>
      <c r="E129" s="34">
        <f t="shared" si="0"/>
        <v>0</v>
      </c>
      <c r="F129" s="35"/>
      <c r="G129" s="34">
        <f t="shared" si="1"/>
        <v>0</v>
      </c>
      <c r="H129" s="32"/>
      <c r="I129" s="31"/>
    </row>
    <row r="130" spans="1:9" ht="12.75" x14ac:dyDescent="0.2">
      <c r="A130" s="31"/>
      <c r="B130" s="31"/>
      <c r="C130" s="32"/>
      <c r="D130" s="33"/>
      <c r="E130" s="34">
        <f t="shared" si="0"/>
        <v>0</v>
      </c>
      <c r="F130" s="35"/>
      <c r="G130" s="34">
        <f t="shared" si="1"/>
        <v>0</v>
      </c>
      <c r="H130" s="32"/>
      <c r="I130" s="31"/>
    </row>
    <row r="131" spans="1:9" ht="12.75" x14ac:dyDescent="0.2">
      <c r="A131" s="31"/>
      <c r="B131" s="31"/>
      <c r="C131" s="32"/>
      <c r="D131" s="33"/>
      <c r="E131" s="34">
        <f t="shared" si="0"/>
        <v>0</v>
      </c>
      <c r="F131" s="35"/>
      <c r="G131" s="34">
        <f t="shared" si="1"/>
        <v>0</v>
      </c>
      <c r="H131" s="32"/>
      <c r="I131" s="31"/>
    </row>
    <row r="132" spans="1:9" ht="12.75" x14ac:dyDescent="0.2">
      <c r="A132" s="31"/>
      <c r="B132" s="31"/>
      <c r="C132" s="32"/>
      <c r="D132" s="33"/>
      <c r="E132" s="34">
        <f t="shared" si="0"/>
        <v>0</v>
      </c>
      <c r="F132" s="35"/>
      <c r="G132" s="34">
        <f t="shared" si="1"/>
        <v>0</v>
      </c>
      <c r="H132" s="32"/>
      <c r="I132" s="31"/>
    </row>
    <row r="133" spans="1:9" ht="12.75" x14ac:dyDescent="0.2">
      <c r="A133" s="31"/>
      <c r="B133" s="31"/>
      <c r="C133" s="32"/>
      <c r="D133" s="33"/>
      <c r="E133" s="34">
        <f t="shared" si="0"/>
        <v>0</v>
      </c>
      <c r="F133" s="35"/>
      <c r="G133" s="34">
        <f t="shared" si="1"/>
        <v>0</v>
      </c>
      <c r="H133" s="32"/>
      <c r="I133" s="31"/>
    </row>
    <row r="134" spans="1:9" ht="12.75" x14ac:dyDescent="0.2">
      <c r="A134" s="31"/>
      <c r="B134" s="31"/>
      <c r="C134" s="32"/>
      <c r="D134" s="33"/>
      <c r="E134" s="34">
        <f t="shared" si="0"/>
        <v>0</v>
      </c>
      <c r="F134" s="35"/>
      <c r="G134" s="34">
        <f t="shared" si="1"/>
        <v>0</v>
      </c>
      <c r="H134" s="32"/>
      <c r="I134" s="31"/>
    </row>
    <row r="135" spans="1:9" ht="12.75" x14ac:dyDescent="0.2">
      <c r="A135" s="31"/>
      <c r="B135" s="31"/>
      <c r="C135" s="32"/>
      <c r="D135" s="33"/>
      <c r="E135" s="34">
        <f t="shared" si="0"/>
        <v>0</v>
      </c>
      <c r="F135" s="35"/>
      <c r="G135" s="34">
        <f t="shared" si="1"/>
        <v>0</v>
      </c>
      <c r="H135" s="32"/>
      <c r="I135" s="31"/>
    </row>
    <row r="136" spans="1:9" ht="12.75" x14ac:dyDescent="0.2">
      <c r="A136" s="31"/>
      <c r="B136" s="31"/>
      <c r="C136" s="32"/>
      <c r="D136" s="33"/>
      <c r="E136" s="34">
        <f t="shared" si="0"/>
        <v>0</v>
      </c>
      <c r="F136" s="35"/>
      <c r="G136" s="34">
        <f t="shared" si="1"/>
        <v>0</v>
      </c>
      <c r="H136" s="32"/>
      <c r="I136" s="31"/>
    </row>
    <row r="137" spans="1:9" ht="12.75" x14ac:dyDescent="0.2">
      <c r="A137" s="31"/>
      <c r="B137" s="31"/>
      <c r="C137" s="32"/>
      <c r="D137" s="33"/>
      <c r="E137" s="34">
        <f t="shared" si="0"/>
        <v>0</v>
      </c>
      <c r="F137" s="35"/>
      <c r="G137" s="34">
        <f t="shared" si="1"/>
        <v>0</v>
      </c>
      <c r="H137" s="32"/>
      <c r="I137" s="31"/>
    </row>
    <row r="138" spans="1:9" ht="12.75" x14ac:dyDescent="0.2">
      <c r="A138" s="31"/>
      <c r="B138" s="31"/>
      <c r="C138" s="32"/>
      <c r="D138" s="33"/>
      <c r="E138" s="34">
        <f t="shared" si="0"/>
        <v>0</v>
      </c>
      <c r="F138" s="35"/>
      <c r="G138" s="34">
        <f t="shared" si="1"/>
        <v>0</v>
      </c>
      <c r="H138" s="32"/>
      <c r="I138" s="31"/>
    </row>
    <row r="139" spans="1:9" ht="12.75" x14ac:dyDescent="0.2">
      <c r="A139" s="31"/>
      <c r="B139" s="31"/>
      <c r="C139" s="32"/>
      <c r="D139" s="33"/>
      <c r="E139" s="34">
        <f t="shared" si="0"/>
        <v>0</v>
      </c>
      <c r="F139" s="35"/>
      <c r="G139" s="34">
        <f t="shared" si="1"/>
        <v>0</v>
      </c>
      <c r="H139" s="32"/>
      <c r="I139" s="31"/>
    </row>
    <row r="140" spans="1:9" ht="12.75" x14ac:dyDescent="0.2">
      <c r="A140" s="31"/>
      <c r="B140" s="31"/>
      <c r="C140" s="32"/>
      <c r="D140" s="33"/>
      <c r="E140" s="34">
        <f t="shared" si="0"/>
        <v>0</v>
      </c>
      <c r="F140" s="35"/>
      <c r="G140" s="34">
        <f t="shared" si="1"/>
        <v>0</v>
      </c>
      <c r="H140" s="32"/>
      <c r="I140" s="31"/>
    </row>
    <row r="141" spans="1:9" ht="12.75" x14ac:dyDescent="0.2">
      <c r="A141" s="31"/>
      <c r="B141" s="31"/>
      <c r="C141" s="32"/>
      <c r="D141" s="33"/>
      <c r="E141" s="34">
        <f t="shared" si="0"/>
        <v>0</v>
      </c>
      <c r="F141" s="35"/>
      <c r="G141" s="34">
        <f t="shared" si="1"/>
        <v>0</v>
      </c>
      <c r="H141" s="32"/>
      <c r="I141" s="31"/>
    </row>
    <row r="142" spans="1:9" ht="12.75" x14ac:dyDescent="0.2">
      <c r="A142" s="31"/>
      <c r="B142" s="31"/>
      <c r="C142" s="32"/>
      <c r="D142" s="33"/>
      <c r="E142" s="34">
        <f t="shared" si="0"/>
        <v>0</v>
      </c>
      <c r="F142" s="35"/>
      <c r="G142" s="34">
        <f t="shared" si="1"/>
        <v>0</v>
      </c>
      <c r="H142" s="32"/>
      <c r="I142" s="31"/>
    </row>
    <row r="143" spans="1:9" ht="12.75" x14ac:dyDescent="0.2">
      <c r="A143" s="31"/>
      <c r="B143" s="31"/>
      <c r="C143" s="32"/>
      <c r="D143" s="33"/>
      <c r="E143" s="34">
        <f t="shared" si="0"/>
        <v>0</v>
      </c>
      <c r="F143" s="35"/>
      <c r="G143" s="34">
        <f t="shared" si="1"/>
        <v>0</v>
      </c>
      <c r="H143" s="32"/>
      <c r="I143" s="31"/>
    </row>
    <row r="144" spans="1:9" ht="12.75" x14ac:dyDescent="0.2">
      <c r="A144" s="31"/>
      <c r="B144" s="31"/>
      <c r="C144" s="32"/>
      <c r="D144" s="33"/>
      <c r="E144" s="34">
        <f t="shared" si="0"/>
        <v>0</v>
      </c>
      <c r="F144" s="35"/>
      <c r="G144" s="34">
        <f t="shared" si="1"/>
        <v>0</v>
      </c>
      <c r="H144" s="32"/>
      <c r="I144" s="31"/>
    </row>
    <row r="145" spans="1:9" ht="12.75" x14ac:dyDescent="0.2">
      <c r="A145" s="31"/>
      <c r="B145" s="31"/>
      <c r="C145" s="32"/>
      <c r="D145" s="33"/>
      <c r="E145" s="34">
        <f t="shared" si="0"/>
        <v>0</v>
      </c>
      <c r="F145" s="35"/>
      <c r="G145" s="34">
        <f t="shared" si="1"/>
        <v>0</v>
      </c>
      <c r="H145" s="32"/>
      <c r="I145" s="31"/>
    </row>
    <row r="146" spans="1:9" ht="12.75" x14ac:dyDescent="0.2">
      <c r="A146" s="31"/>
      <c r="B146" s="31"/>
      <c r="C146" s="32"/>
      <c r="D146" s="33"/>
      <c r="E146" s="34">
        <f t="shared" si="0"/>
        <v>0</v>
      </c>
      <c r="F146" s="35"/>
      <c r="G146" s="34">
        <f t="shared" si="1"/>
        <v>0</v>
      </c>
      <c r="H146" s="32"/>
      <c r="I146" s="31"/>
    </row>
    <row r="147" spans="1:9" ht="12.75" x14ac:dyDescent="0.2">
      <c r="A147" s="31"/>
      <c r="B147" s="31"/>
      <c r="C147" s="32"/>
      <c r="D147" s="33"/>
      <c r="E147" s="34">
        <f t="shared" si="0"/>
        <v>0</v>
      </c>
      <c r="F147" s="35"/>
      <c r="G147" s="34">
        <f t="shared" si="1"/>
        <v>0</v>
      </c>
      <c r="H147" s="32"/>
      <c r="I147" s="31"/>
    </row>
    <row r="148" spans="1:9" ht="12.75" x14ac:dyDescent="0.2">
      <c r="A148" s="31"/>
      <c r="B148" s="31"/>
      <c r="C148" s="32"/>
      <c r="D148" s="33"/>
      <c r="E148" s="34">
        <f t="shared" si="0"/>
        <v>0</v>
      </c>
      <c r="F148" s="35"/>
      <c r="G148" s="34">
        <f t="shared" si="1"/>
        <v>0</v>
      </c>
      <c r="H148" s="32"/>
      <c r="I148" s="31"/>
    </row>
    <row r="149" spans="1:9" ht="12.75" x14ac:dyDescent="0.2">
      <c r="A149" s="31"/>
      <c r="B149" s="31"/>
      <c r="C149" s="32"/>
      <c r="D149" s="33"/>
      <c r="E149" s="34">
        <f t="shared" si="0"/>
        <v>0</v>
      </c>
      <c r="F149" s="35"/>
      <c r="G149" s="34">
        <f t="shared" si="1"/>
        <v>0</v>
      </c>
      <c r="H149" s="32"/>
      <c r="I149" s="31"/>
    </row>
    <row r="150" spans="1:9" ht="12.75" x14ac:dyDescent="0.2">
      <c r="A150" s="31"/>
      <c r="B150" s="31"/>
      <c r="C150" s="32"/>
      <c r="D150" s="33"/>
      <c r="E150" s="34">
        <f t="shared" si="0"/>
        <v>0</v>
      </c>
      <c r="F150" s="35"/>
      <c r="G150" s="34">
        <f t="shared" si="1"/>
        <v>0</v>
      </c>
      <c r="H150" s="32"/>
      <c r="I150" s="31"/>
    </row>
    <row r="151" spans="1:9" ht="12.75" x14ac:dyDescent="0.2">
      <c r="A151" s="31"/>
      <c r="B151" s="31"/>
      <c r="C151" s="32"/>
      <c r="D151" s="33"/>
      <c r="E151" s="34">
        <f t="shared" si="0"/>
        <v>0</v>
      </c>
      <c r="F151" s="35"/>
      <c r="G151" s="34">
        <f t="shared" si="1"/>
        <v>0</v>
      </c>
      <c r="H151" s="32"/>
      <c r="I151" s="31"/>
    </row>
    <row r="152" spans="1:9" ht="12.75" x14ac:dyDescent="0.2">
      <c r="A152" s="31"/>
      <c r="B152" s="31"/>
      <c r="C152" s="32"/>
      <c r="D152" s="33"/>
      <c r="E152" s="34">
        <f t="shared" si="0"/>
        <v>0</v>
      </c>
      <c r="F152" s="35"/>
      <c r="G152" s="34">
        <f t="shared" si="1"/>
        <v>0</v>
      </c>
      <c r="H152" s="32"/>
      <c r="I152" s="31"/>
    </row>
    <row r="153" spans="1:9" ht="12.75" x14ac:dyDescent="0.2">
      <c r="A153" s="31"/>
      <c r="B153" s="31"/>
      <c r="C153" s="32"/>
      <c r="D153" s="33"/>
      <c r="E153" s="34">
        <f t="shared" si="0"/>
        <v>0</v>
      </c>
      <c r="F153" s="35"/>
      <c r="G153" s="34">
        <f t="shared" si="1"/>
        <v>0</v>
      </c>
      <c r="H153" s="32"/>
      <c r="I153" s="31"/>
    </row>
    <row r="154" spans="1:9" ht="12.75" x14ac:dyDescent="0.2">
      <c r="A154" s="270" t="s">
        <v>44</v>
      </c>
      <c r="B154" s="268"/>
      <c r="C154" s="269"/>
      <c r="D154" s="36">
        <f t="shared" ref="D154:E154" si="2">SUM(D3:D153)</f>
        <v>94421.62000000001</v>
      </c>
      <c r="E154" s="36">
        <f t="shared" si="2"/>
        <v>7706.873818181818</v>
      </c>
      <c r="F154" s="36"/>
      <c r="G154" s="36">
        <f>SUM(G3:G153)</f>
        <v>17352.881818181824</v>
      </c>
      <c r="H154" s="39"/>
      <c r="I154" s="40"/>
    </row>
    <row r="155" spans="1:9" ht="12.75" x14ac:dyDescent="0.2">
      <c r="A155" s="41"/>
      <c r="B155" s="41"/>
      <c r="C155" s="41"/>
      <c r="D155" s="42"/>
      <c r="E155" s="37"/>
      <c r="F155" s="38"/>
      <c r="G155" s="37"/>
      <c r="H155" s="39"/>
      <c r="I155" s="40"/>
    </row>
  </sheetData>
  <autoFilter ref="A2:I153" xr:uid="{00000000-0009-0000-0000-000005000000}"/>
  <mergeCells count="2">
    <mergeCell ref="A154:C154"/>
    <mergeCell ref="A1:I1"/>
  </mergeCells>
  <conditionalFormatting sqref="A1:A155">
    <cfRule type="expression" dxfId="3" priority="1">
      <formula>MATCH(INDIRECT(ADDRESS(ROW(),COLUMN())),INDIRECT("METAS!B:B"),0)&gt;0</formula>
    </cfRule>
  </conditionalFormatting>
  <dataValidations count="2">
    <dataValidation type="list" allowBlank="1" sqref="B3:B153" xr:uid="{00000000-0002-0000-0500-000000000000}">
      <formula1>"URV,RECLASSIFICAÇÃO"</formula1>
    </dataValidation>
    <dataValidation type="list" allowBlank="1" sqref="H3:H153" xr:uid="{00000000-0002-0000-0500-000001000000}">
      <formula1>"ALVARÁS EXPEDIDOS,ALVARÁS RECEBIDOS,EXPEDIR ALVARÁS,REQUERER SEQUESTRO,AGUARDAR PRAZO RPV,AGUARDAR RETORNO DA CONTADORIA,EXPEDIR RPVS,ALVARÁ PARA CORRIGIR,VERIFICAR SE TODOS OS ALVARÁS FORAM RECEBIDOS,PARA IMPLANTAR,PAGO,ENVIAR PARA CONTADORIA,NA CONTADOR"&amp;"IA"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9"/>
  <sheetViews>
    <sheetView workbookViewId="0">
      <pane ySplit="2" topLeftCell="A3" activePane="bottomLeft" state="frozen"/>
      <selection pane="bottomLeft" activeCell="A3" sqref="A3:A26"/>
    </sheetView>
  </sheetViews>
  <sheetFormatPr defaultColWidth="14.42578125" defaultRowHeight="15.75" customHeight="1" x14ac:dyDescent="0.2"/>
  <cols>
    <col min="1" max="1" width="8.85546875" customWidth="1"/>
    <col min="2" max="2" width="16.140625" customWidth="1"/>
    <col min="3" max="3" width="43.5703125" customWidth="1"/>
    <col min="4" max="4" width="14.7109375" customWidth="1"/>
    <col min="5" max="5" width="11.5703125" customWidth="1"/>
    <col min="6" max="6" width="8" customWidth="1"/>
    <col min="7" max="7" width="11.140625" customWidth="1"/>
    <col min="8" max="8" width="42.140625" customWidth="1"/>
    <col min="9" max="9" width="7.85546875" customWidth="1"/>
  </cols>
  <sheetData>
    <row r="1" spans="1:9" ht="15.75" customHeight="1" x14ac:dyDescent="0.2">
      <c r="A1" s="267" t="s">
        <v>353</v>
      </c>
      <c r="B1" s="268"/>
      <c r="C1" s="268"/>
      <c r="D1" s="268"/>
      <c r="E1" s="268"/>
      <c r="F1" s="268"/>
      <c r="G1" s="268"/>
      <c r="H1" s="268"/>
      <c r="I1" s="269"/>
    </row>
    <row r="2" spans="1:9" ht="15.75" customHeight="1" x14ac:dyDescent="0.2">
      <c r="A2" s="1" t="s">
        <v>2</v>
      </c>
      <c r="B2" s="2" t="s">
        <v>3</v>
      </c>
      <c r="C2" s="1" t="s">
        <v>5</v>
      </c>
      <c r="D2" s="161" t="s">
        <v>6</v>
      </c>
      <c r="E2" s="3" t="s">
        <v>7</v>
      </c>
      <c r="F2" s="4" t="s">
        <v>8</v>
      </c>
      <c r="G2" s="3" t="s">
        <v>10</v>
      </c>
      <c r="H2" s="2" t="s">
        <v>4</v>
      </c>
      <c r="I2" s="1" t="s">
        <v>12</v>
      </c>
    </row>
    <row r="3" spans="1:9" ht="15.75" customHeight="1" x14ac:dyDescent="0.2">
      <c r="A3" s="145">
        <v>20232000</v>
      </c>
      <c r="B3" s="6" t="s">
        <v>13</v>
      </c>
      <c r="C3" s="146" t="s">
        <v>359</v>
      </c>
      <c r="D3" s="162">
        <v>11135.26</v>
      </c>
      <c r="E3" s="113">
        <f t="shared" ref="E3:E137" si="0">IF(F3=0,D3*0.1,IF(OR(B3="Descompressão",B3="MS 207002004"),(D3-G3)*0.05,(D3-G3)*0.1))</f>
        <v>1012.2963636363637</v>
      </c>
      <c r="F3" s="10">
        <v>0.1</v>
      </c>
      <c r="G3" s="113">
        <f t="shared" ref="G3:G137" si="1">IF(F3=100%,D3,IF(F3=0,0,(D3-(D3/(1+F3)))))</f>
        <v>1012.2963636363638</v>
      </c>
      <c r="H3" s="7" t="s">
        <v>372</v>
      </c>
      <c r="I3" s="148" t="s">
        <v>51</v>
      </c>
    </row>
    <row r="4" spans="1:9" ht="15.75" customHeight="1" x14ac:dyDescent="0.2">
      <c r="A4" s="44">
        <v>112452008</v>
      </c>
      <c r="B4" s="13" t="s">
        <v>13</v>
      </c>
      <c r="C4" s="14" t="s">
        <v>374</v>
      </c>
      <c r="D4" s="166">
        <v>3856.23</v>
      </c>
      <c r="E4" s="46">
        <f t="shared" si="0"/>
        <v>350.56636363636363</v>
      </c>
      <c r="F4" s="17">
        <v>0.1</v>
      </c>
      <c r="G4" s="46">
        <f t="shared" si="1"/>
        <v>350.5663636363638</v>
      </c>
      <c r="H4" s="14" t="s">
        <v>315</v>
      </c>
      <c r="I4" s="49" t="s">
        <v>51</v>
      </c>
    </row>
    <row r="5" spans="1:9" ht="15.75" customHeight="1" x14ac:dyDescent="0.2">
      <c r="A5" s="19">
        <v>112452008</v>
      </c>
      <c r="B5" s="20" t="s">
        <v>13</v>
      </c>
      <c r="C5" s="21" t="s">
        <v>380</v>
      </c>
      <c r="D5" s="168">
        <v>3902.98</v>
      </c>
      <c r="E5" s="103">
        <f t="shared" si="0"/>
        <v>354.81636363636363</v>
      </c>
      <c r="F5" s="24">
        <v>0.1</v>
      </c>
      <c r="G5" s="103">
        <f t="shared" si="1"/>
        <v>354.8163636363638</v>
      </c>
      <c r="H5" s="21" t="s">
        <v>315</v>
      </c>
      <c r="I5" s="120" t="s">
        <v>51</v>
      </c>
    </row>
    <row r="6" spans="1:9" ht="15.75" customHeight="1" x14ac:dyDescent="0.2">
      <c r="A6" s="44">
        <v>3422003</v>
      </c>
      <c r="B6" s="13" t="s">
        <v>13</v>
      </c>
      <c r="C6" s="14" t="s">
        <v>30</v>
      </c>
      <c r="D6" s="166">
        <f>2803.07*2</f>
        <v>5606.14</v>
      </c>
      <c r="E6" s="46">
        <f t="shared" si="0"/>
        <v>509.64909090909089</v>
      </c>
      <c r="F6" s="17">
        <v>0.1</v>
      </c>
      <c r="G6" s="46">
        <f t="shared" si="1"/>
        <v>509.64909090909168</v>
      </c>
      <c r="H6" s="14" t="s">
        <v>42</v>
      </c>
      <c r="I6" s="49" t="s">
        <v>51</v>
      </c>
    </row>
    <row r="7" spans="1:9" ht="15.75" customHeight="1" x14ac:dyDescent="0.2">
      <c r="A7" s="109">
        <v>3422003</v>
      </c>
      <c r="B7" s="133" t="s">
        <v>13</v>
      </c>
      <c r="C7" s="82" t="s">
        <v>396</v>
      </c>
      <c r="D7" s="169">
        <v>7139.84</v>
      </c>
      <c r="E7" s="88">
        <f t="shared" si="0"/>
        <v>649.07636363636357</v>
      </c>
      <c r="F7" s="90">
        <v>0.1</v>
      </c>
      <c r="G7" s="88">
        <f t="shared" si="1"/>
        <v>649.07636363636448</v>
      </c>
      <c r="H7" s="82" t="s">
        <v>42</v>
      </c>
      <c r="I7" s="112" t="s">
        <v>51</v>
      </c>
    </row>
    <row r="8" spans="1:9" ht="15.75" customHeight="1" x14ac:dyDescent="0.2">
      <c r="A8" s="116">
        <v>3422003</v>
      </c>
      <c r="B8" s="140" t="s">
        <v>13</v>
      </c>
      <c r="C8" s="21" t="s">
        <v>402</v>
      </c>
      <c r="D8" s="168">
        <v>6352.05</v>
      </c>
      <c r="E8" s="103">
        <f t="shared" si="0"/>
        <v>577.45909090909095</v>
      </c>
      <c r="F8" s="24">
        <v>0.1</v>
      </c>
      <c r="G8" s="103">
        <f t="shared" si="1"/>
        <v>577.45909090909117</v>
      </c>
      <c r="H8" s="21" t="s">
        <v>42</v>
      </c>
      <c r="I8" s="120" t="s">
        <v>51</v>
      </c>
    </row>
    <row r="9" spans="1:9" ht="15.75" customHeight="1" x14ac:dyDescent="0.2">
      <c r="A9" s="44">
        <v>27382005</v>
      </c>
      <c r="B9" s="13" t="s">
        <v>14</v>
      </c>
      <c r="C9" s="14" t="s">
        <v>404</v>
      </c>
      <c r="D9" s="166">
        <v>3032.9</v>
      </c>
      <c r="E9" s="46">
        <f t="shared" si="0"/>
        <v>275.71818181818179</v>
      </c>
      <c r="F9" s="17">
        <v>0.1</v>
      </c>
      <c r="G9" s="46">
        <f t="shared" si="1"/>
        <v>275.71818181818207</v>
      </c>
      <c r="H9" s="14" t="s">
        <v>407</v>
      </c>
      <c r="I9" s="49" t="s">
        <v>51</v>
      </c>
    </row>
    <row r="10" spans="1:9" ht="15.75" customHeight="1" x14ac:dyDescent="0.2">
      <c r="A10" s="109">
        <v>27382005</v>
      </c>
      <c r="B10" s="26" t="s">
        <v>14</v>
      </c>
      <c r="C10" s="82" t="s">
        <v>409</v>
      </c>
      <c r="D10" s="169">
        <v>5979.89</v>
      </c>
      <c r="E10" s="88">
        <f t="shared" si="0"/>
        <v>543.62636363636364</v>
      </c>
      <c r="F10" s="90">
        <v>0.1</v>
      </c>
      <c r="G10" s="88">
        <f t="shared" si="1"/>
        <v>543.62636363636375</v>
      </c>
      <c r="H10" s="82" t="s">
        <v>407</v>
      </c>
      <c r="I10" s="112" t="s">
        <v>51</v>
      </c>
    </row>
    <row r="11" spans="1:9" ht="15.75" customHeight="1" x14ac:dyDescent="0.2">
      <c r="A11" s="109">
        <v>27382005</v>
      </c>
      <c r="B11" s="26" t="s">
        <v>14</v>
      </c>
      <c r="C11" s="82" t="s">
        <v>412</v>
      </c>
      <c r="D11" s="169">
        <v>3453.36</v>
      </c>
      <c r="E11" s="88">
        <f t="shared" si="0"/>
        <v>313.94181818181823</v>
      </c>
      <c r="F11" s="90">
        <v>0.1</v>
      </c>
      <c r="G11" s="88">
        <f t="shared" si="1"/>
        <v>313.94181818181823</v>
      </c>
      <c r="H11" s="82" t="s">
        <v>407</v>
      </c>
      <c r="I11" s="112" t="s">
        <v>51</v>
      </c>
    </row>
    <row r="12" spans="1:9" ht="15.75" customHeight="1" x14ac:dyDescent="0.2">
      <c r="A12" s="109">
        <v>27382005</v>
      </c>
      <c r="B12" s="26" t="s">
        <v>14</v>
      </c>
      <c r="C12" s="82" t="s">
        <v>415</v>
      </c>
      <c r="D12" s="169">
        <v>5353.04</v>
      </c>
      <c r="E12" s="88">
        <f t="shared" si="0"/>
        <v>486.64</v>
      </c>
      <c r="F12" s="90">
        <v>0.1</v>
      </c>
      <c r="G12" s="88">
        <f t="shared" si="1"/>
        <v>486.64000000000033</v>
      </c>
      <c r="H12" s="82" t="s">
        <v>407</v>
      </c>
      <c r="I12" s="112" t="s">
        <v>51</v>
      </c>
    </row>
    <row r="13" spans="1:9" ht="15.75" customHeight="1" x14ac:dyDescent="0.2">
      <c r="A13" s="116">
        <v>27382005</v>
      </c>
      <c r="B13" s="118" t="s">
        <v>14</v>
      </c>
      <c r="C13" s="21" t="s">
        <v>419</v>
      </c>
      <c r="D13" s="168">
        <v>2386.39</v>
      </c>
      <c r="E13" s="103">
        <f t="shared" si="0"/>
        <v>216.94454545454542</v>
      </c>
      <c r="F13" s="24">
        <v>0.1</v>
      </c>
      <c r="G13" s="103">
        <f t="shared" si="1"/>
        <v>216.94454545454573</v>
      </c>
      <c r="H13" s="21" t="s">
        <v>407</v>
      </c>
      <c r="I13" s="120" t="s">
        <v>51</v>
      </c>
    </row>
    <row r="14" spans="1:9" ht="15.75" customHeight="1" x14ac:dyDescent="0.2">
      <c r="A14" s="145">
        <v>157852002</v>
      </c>
      <c r="B14" s="6" t="s">
        <v>13</v>
      </c>
      <c r="C14" s="146" t="s">
        <v>31</v>
      </c>
      <c r="D14" s="177">
        <v>12233.09</v>
      </c>
      <c r="E14" s="113">
        <f t="shared" si="0"/>
        <v>1112.0990909090908</v>
      </c>
      <c r="F14" s="10">
        <v>0.1</v>
      </c>
      <c r="G14" s="113">
        <f t="shared" si="1"/>
        <v>1112.0990909090924</v>
      </c>
      <c r="H14" s="7" t="s">
        <v>42</v>
      </c>
      <c r="I14" s="148" t="s">
        <v>51</v>
      </c>
    </row>
    <row r="15" spans="1:9" ht="15.75" customHeight="1" x14ac:dyDescent="0.2">
      <c r="A15" s="44">
        <v>46662005</v>
      </c>
      <c r="B15" s="13" t="s">
        <v>14</v>
      </c>
      <c r="C15" s="14" t="s">
        <v>427</v>
      </c>
      <c r="D15" s="179"/>
      <c r="E15" s="46">
        <f t="shared" si="0"/>
        <v>0</v>
      </c>
      <c r="F15" s="17">
        <v>0.1</v>
      </c>
      <c r="G15" s="48">
        <f t="shared" si="1"/>
        <v>0</v>
      </c>
      <c r="H15" s="14" t="s">
        <v>52</v>
      </c>
      <c r="I15" s="49" t="s">
        <v>51</v>
      </c>
    </row>
    <row r="16" spans="1:9" ht="15.75" customHeight="1" x14ac:dyDescent="0.2">
      <c r="A16" s="109">
        <v>46662005</v>
      </c>
      <c r="B16" s="133" t="s">
        <v>14</v>
      </c>
      <c r="C16" s="82" t="s">
        <v>436</v>
      </c>
      <c r="D16" s="180"/>
      <c r="E16" s="88">
        <f t="shared" si="0"/>
        <v>0</v>
      </c>
      <c r="F16" s="90">
        <v>0.1</v>
      </c>
      <c r="G16" s="92">
        <f t="shared" si="1"/>
        <v>0</v>
      </c>
      <c r="H16" s="82" t="s">
        <v>52</v>
      </c>
      <c r="I16" s="112" t="s">
        <v>51</v>
      </c>
    </row>
    <row r="17" spans="1:9" ht="15.75" customHeight="1" x14ac:dyDescent="0.2">
      <c r="A17" s="109">
        <v>46662005</v>
      </c>
      <c r="B17" s="133" t="s">
        <v>14</v>
      </c>
      <c r="C17" s="82" t="s">
        <v>444</v>
      </c>
      <c r="D17" s="180"/>
      <c r="E17" s="88">
        <f t="shared" si="0"/>
        <v>0</v>
      </c>
      <c r="F17" s="90">
        <v>0.1</v>
      </c>
      <c r="G17" s="92">
        <f t="shared" si="1"/>
        <v>0</v>
      </c>
      <c r="H17" s="82" t="s">
        <v>41</v>
      </c>
      <c r="I17" s="112" t="s">
        <v>51</v>
      </c>
    </row>
    <row r="18" spans="1:9" ht="15.75" customHeight="1" x14ac:dyDescent="0.2">
      <c r="A18" s="109">
        <v>46662005</v>
      </c>
      <c r="B18" s="133" t="s">
        <v>14</v>
      </c>
      <c r="C18" s="82" t="s">
        <v>449</v>
      </c>
      <c r="D18" s="180"/>
      <c r="E18" s="88">
        <f t="shared" si="0"/>
        <v>0</v>
      </c>
      <c r="F18" s="90">
        <v>0.1</v>
      </c>
      <c r="G18" s="92">
        <f t="shared" si="1"/>
        <v>0</v>
      </c>
      <c r="H18" s="82" t="s">
        <v>52</v>
      </c>
      <c r="I18" s="112" t="s">
        <v>51</v>
      </c>
    </row>
    <row r="19" spans="1:9" ht="15.75" customHeight="1" x14ac:dyDescent="0.2">
      <c r="A19" s="109">
        <v>46662005</v>
      </c>
      <c r="B19" s="133" t="s">
        <v>14</v>
      </c>
      <c r="C19" s="82" t="s">
        <v>452</v>
      </c>
      <c r="D19" s="180"/>
      <c r="E19" s="88">
        <f t="shared" si="0"/>
        <v>0</v>
      </c>
      <c r="F19" s="90">
        <v>0.1</v>
      </c>
      <c r="G19" s="92">
        <f t="shared" si="1"/>
        <v>0</v>
      </c>
      <c r="H19" s="82" t="s">
        <v>41</v>
      </c>
      <c r="I19" s="112" t="s">
        <v>51</v>
      </c>
    </row>
    <row r="20" spans="1:9" ht="15.75" customHeight="1" x14ac:dyDescent="0.2">
      <c r="A20" s="116">
        <v>46662005</v>
      </c>
      <c r="B20" s="140" t="s">
        <v>14</v>
      </c>
      <c r="C20" s="21" t="s">
        <v>455</v>
      </c>
      <c r="D20" s="183">
        <f>5865.2+586.5</f>
        <v>6451.7</v>
      </c>
      <c r="E20" s="103">
        <f t="shared" si="0"/>
        <v>586.51818181818169</v>
      </c>
      <c r="F20" s="24">
        <v>0.1</v>
      </c>
      <c r="G20" s="105">
        <f t="shared" si="1"/>
        <v>586.51818181818271</v>
      </c>
      <c r="H20" s="21" t="s">
        <v>468</v>
      </c>
      <c r="I20" s="120" t="s">
        <v>51</v>
      </c>
    </row>
    <row r="21" spans="1:9" ht="15.75" customHeight="1" x14ac:dyDescent="0.2">
      <c r="A21" s="145">
        <v>191232005</v>
      </c>
      <c r="B21" s="6" t="s">
        <v>13</v>
      </c>
      <c r="C21" s="146" t="s">
        <v>32</v>
      </c>
      <c r="D21" s="162">
        <v>3190.28</v>
      </c>
      <c r="E21" s="113">
        <f t="shared" si="0"/>
        <v>290.02545454545452</v>
      </c>
      <c r="F21" s="10">
        <v>0.1</v>
      </c>
      <c r="G21" s="113">
        <f t="shared" si="1"/>
        <v>290.02545454545498</v>
      </c>
      <c r="H21" s="7" t="s">
        <v>42</v>
      </c>
      <c r="I21" s="148" t="s">
        <v>51</v>
      </c>
    </row>
    <row r="22" spans="1:9" ht="15.75" customHeight="1" x14ac:dyDescent="0.2">
      <c r="A22" s="145">
        <v>276142009</v>
      </c>
      <c r="B22" s="6" t="s">
        <v>13</v>
      </c>
      <c r="C22" s="146" t="s">
        <v>476</v>
      </c>
      <c r="D22" s="162">
        <v>3152.74</v>
      </c>
      <c r="E22" s="113">
        <f t="shared" si="0"/>
        <v>286.61272727272723</v>
      </c>
      <c r="F22" s="10">
        <v>0.1</v>
      </c>
      <c r="G22" s="113">
        <f t="shared" si="1"/>
        <v>286.61272727272762</v>
      </c>
      <c r="H22" s="7" t="s">
        <v>468</v>
      </c>
      <c r="I22" s="148" t="s">
        <v>51</v>
      </c>
    </row>
    <row r="23" spans="1:9" ht="15.75" customHeight="1" x14ac:dyDescent="0.2">
      <c r="A23" s="5">
        <v>115422004</v>
      </c>
      <c r="B23" s="6" t="s">
        <v>13</v>
      </c>
      <c r="C23" s="7" t="s">
        <v>481</v>
      </c>
      <c r="D23" s="177">
        <v>12327.36</v>
      </c>
      <c r="E23" s="113">
        <f t="shared" si="0"/>
        <v>1120.669090909091</v>
      </c>
      <c r="F23" s="10">
        <v>0.1</v>
      </c>
      <c r="G23" s="184">
        <f t="shared" si="1"/>
        <v>1120.6690909090921</v>
      </c>
      <c r="H23" s="7" t="s">
        <v>52</v>
      </c>
      <c r="I23" s="11" t="s">
        <v>51</v>
      </c>
    </row>
    <row r="24" spans="1:9" ht="15.75" customHeight="1" x14ac:dyDescent="0.2">
      <c r="A24" s="145">
        <v>3622006</v>
      </c>
      <c r="B24" s="6" t="s">
        <v>13</v>
      </c>
      <c r="C24" s="146" t="s">
        <v>491</v>
      </c>
      <c r="D24" s="162">
        <v>10395.82</v>
      </c>
      <c r="E24" s="9">
        <f t="shared" si="0"/>
        <v>945.07454545454539</v>
      </c>
      <c r="F24" s="10">
        <v>0.1</v>
      </c>
      <c r="G24" s="9">
        <f t="shared" si="1"/>
        <v>945.07454545454675</v>
      </c>
      <c r="H24" s="7" t="s">
        <v>315</v>
      </c>
      <c r="I24" s="111" t="s">
        <v>51</v>
      </c>
    </row>
    <row r="25" spans="1:9" ht="15.75" customHeight="1" x14ac:dyDescent="0.2">
      <c r="A25" s="185">
        <v>54852004</v>
      </c>
      <c r="B25" s="186" t="s">
        <v>13</v>
      </c>
      <c r="C25" s="187" t="s">
        <v>500</v>
      </c>
      <c r="D25" s="188">
        <v>2725.63</v>
      </c>
      <c r="E25" s="189">
        <f t="shared" si="0"/>
        <v>247.78454545454542</v>
      </c>
      <c r="F25" s="190">
        <v>0.1</v>
      </c>
      <c r="G25" s="189">
        <f t="shared" si="1"/>
        <v>247.78454545454588</v>
      </c>
      <c r="H25" s="191" t="s">
        <v>52</v>
      </c>
      <c r="I25" s="192" t="s">
        <v>51</v>
      </c>
    </row>
    <row r="26" spans="1:9" ht="15.75" customHeight="1" x14ac:dyDescent="0.2">
      <c r="A26" s="5">
        <v>340512013</v>
      </c>
      <c r="B26" s="6" t="s">
        <v>17</v>
      </c>
      <c r="C26" s="7" t="s">
        <v>521</v>
      </c>
      <c r="D26" s="177">
        <v>17149.900000000001</v>
      </c>
      <c r="E26" s="9">
        <f t="shared" si="0"/>
        <v>816.66190476190479</v>
      </c>
      <c r="F26" s="10">
        <v>0.05</v>
      </c>
      <c r="G26" s="9">
        <f t="shared" si="1"/>
        <v>816.66190476190604</v>
      </c>
      <c r="H26" s="7" t="s">
        <v>50</v>
      </c>
      <c r="I26" s="111" t="s">
        <v>51</v>
      </c>
    </row>
    <row r="27" spans="1:9" ht="15.75" customHeight="1" x14ac:dyDescent="0.2">
      <c r="A27" s="26"/>
      <c r="B27" s="26"/>
      <c r="C27" s="27"/>
      <c r="D27" s="180"/>
      <c r="E27" s="29">
        <f t="shared" si="0"/>
        <v>0</v>
      </c>
      <c r="F27" s="30"/>
      <c r="G27" s="29">
        <f t="shared" si="1"/>
        <v>0</v>
      </c>
      <c r="H27" s="27"/>
      <c r="I27" s="26"/>
    </row>
    <row r="28" spans="1:9" ht="15.75" customHeight="1" x14ac:dyDescent="0.2">
      <c r="A28" s="26"/>
      <c r="B28" s="26"/>
      <c r="C28" s="27"/>
      <c r="D28" s="180"/>
      <c r="E28" s="29">
        <f t="shared" si="0"/>
        <v>0</v>
      </c>
      <c r="F28" s="30"/>
      <c r="G28" s="29">
        <f t="shared" si="1"/>
        <v>0</v>
      </c>
      <c r="H28" s="27"/>
      <c r="I28" s="26"/>
    </row>
    <row r="29" spans="1:9" ht="15.75" customHeight="1" x14ac:dyDescent="0.2">
      <c r="A29" s="26"/>
      <c r="B29" s="26"/>
      <c r="C29" s="27"/>
      <c r="D29" s="180"/>
      <c r="E29" s="29">
        <f t="shared" si="0"/>
        <v>0</v>
      </c>
      <c r="F29" s="30"/>
      <c r="G29" s="29">
        <f t="shared" si="1"/>
        <v>0</v>
      </c>
      <c r="H29" s="27"/>
      <c r="I29" s="26"/>
    </row>
    <row r="30" spans="1:9" ht="15.75" customHeight="1" x14ac:dyDescent="0.2">
      <c r="A30" s="26"/>
      <c r="B30" s="26"/>
      <c r="C30" s="27"/>
      <c r="D30" s="180"/>
      <c r="E30" s="29">
        <f t="shared" si="0"/>
        <v>0</v>
      </c>
      <c r="F30" s="30"/>
      <c r="G30" s="29">
        <f t="shared" si="1"/>
        <v>0</v>
      </c>
      <c r="H30" s="27"/>
      <c r="I30" s="26"/>
    </row>
    <row r="31" spans="1:9" ht="15.75" customHeight="1" x14ac:dyDescent="0.2">
      <c r="A31" s="26"/>
      <c r="B31" s="26"/>
      <c r="C31" s="27"/>
      <c r="D31" s="180"/>
      <c r="E31" s="29">
        <f t="shared" si="0"/>
        <v>0</v>
      </c>
      <c r="F31" s="30"/>
      <c r="G31" s="29">
        <f t="shared" si="1"/>
        <v>0</v>
      </c>
      <c r="H31" s="27"/>
      <c r="I31" s="26"/>
    </row>
    <row r="32" spans="1:9" ht="15.75" customHeight="1" x14ac:dyDescent="0.2">
      <c r="A32" s="26"/>
      <c r="B32" s="26"/>
      <c r="C32" s="27"/>
      <c r="D32" s="180"/>
      <c r="E32" s="29">
        <f t="shared" si="0"/>
        <v>0</v>
      </c>
      <c r="F32" s="30"/>
      <c r="G32" s="29">
        <f t="shared" si="1"/>
        <v>0</v>
      </c>
      <c r="H32" s="27"/>
      <c r="I32" s="26"/>
    </row>
    <row r="33" spans="1:9" ht="15.75" customHeight="1" x14ac:dyDescent="0.2">
      <c r="A33" s="26"/>
      <c r="B33" s="26"/>
      <c r="C33" s="27"/>
      <c r="D33" s="180"/>
      <c r="E33" s="29">
        <f t="shared" si="0"/>
        <v>0</v>
      </c>
      <c r="F33" s="30"/>
      <c r="G33" s="29">
        <f t="shared" si="1"/>
        <v>0</v>
      </c>
      <c r="H33" s="27"/>
      <c r="I33" s="26"/>
    </row>
    <row r="34" spans="1:9" ht="15.75" customHeight="1" x14ac:dyDescent="0.2">
      <c r="A34" s="26"/>
      <c r="B34" s="26"/>
      <c r="C34" s="27"/>
      <c r="D34" s="180"/>
      <c r="E34" s="29">
        <f t="shared" si="0"/>
        <v>0</v>
      </c>
      <c r="F34" s="30"/>
      <c r="G34" s="29">
        <f t="shared" si="1"/>
        <v>0</v>
      </c>
      <c r="H34" s="27"/>
      <c r="I34" s="26"/>
    </row>
    <row r="35" spans="1:9" ht="15.75" customHeight="1" x14ac:dyDescent="0.2">
      <c r="A35" s="26"/>
      <c r="B35" s="26"/>
      <c r="C35" s="27"/>
      <c r="D35" s="180"/>
      <c r="E35" s="29">
        <f t="shared" si="0"/>
        <v>0</v>
      </c>
      <c r="F35" s="30"/>
      <c r="G35" s="29">
        <f t="shared" si="1"/>
        <v>0</v>
      </c>
      <c r="H35" s="27"/>
      <c r="I35" s="26"/>
    </row>
    <row r="36" spans="1:9" ht="15.75" customHeight="1" x14ac:dyDescent="0.2">
      <c r="A36" s="26"/>
      <c r="B36" s="26"/>
      <c r="C36" s="27"/>
      <c r="D36" s="180"/>
      <c r="E36" s="29">
        <f t="shared" si="0"/>
        <v>0</v>
      </c>
      <c r="F36" s="30"/>
      <c r="G36" s="29">
        <f t="shared" si="1"/>
        <v>0</v>
      </c>
      <c r="H36" s="27"/>
      <c r="I36" s="26"/>
    </row>
    <row r="37" spans="1:9" ht="15.75" customHeight="1" x14ac:dyDescent="0.2">
      <c r="A37" s="26"/>
      <c r="B37" s="26"/>
      <c r="C37" s="27"/>
      <c r="D37" s="180"/>
      <c r="E37" s="29">
        <f t="shared" si="0"/>
        <v>0</v>
      </c>
      <c r="F37" s="30"/>
      <c r="G37" s="29">
        <f t="shared" si="1"/>
        <v>0</v>
      </c>
      <c r="H37" s="27"/>
      <c r="I37" s="26"/>
    </row>
    <row r="38" spans="1:9" ht="15.75" customHeight="1" x14ac:dyDescent="0.2">
      <c r="A38" s="26"/>
      <c r="B38" s="26"/>
      <c r="C38" s="27"/>
      <c r="D38" s="180"/>
      <c r="E38" s="29">
        <f t="shared" si="0"/>
        <v>0</v>
      </c>
      <c r="F38" s="30"/>
      <c r="G38" s="29">
        <f t="shared" si="1"/>
        <v>0</v>
      </c>
      <c r="H38" s="27"/>
      <c r="I38" s="26"/>
    </row>
    <row r="39" spans="1:9" ht="12.75" x14ac:dyDescent="0.2">
      <c r="A39" s="26"/>
      <c r="B39" s="26"/>
      <c r="C39" s="27"/>
      <c r="D39" s="180"/>
      <c r="E39" s="29">
        <f t="shared" si="0"/>
        <v>0</v>
      </c>
      <c r="F39" s="30"/>
      <c r="G39" s="29">
        <f t="shared" si="1"/>
        <v>0</v>
      </c>
      <c r="H39" s="27"/>
      <c r="I39" s="26"/>
    </row>
    <row r="40" spans="1:9" ht="12.75" x14ac:dyDescent="0.2">
      <c r="A40" s="26"/>
      <c r="B40" s="26"/>
      <c r="C40" s="27"/>
      <c r="D40" s="180"/>
      <c r="E40" s="29">
        <f t="shared" si="0"/>
        <v>0</v>
      </c>
      <c r="F40" s="30"/>
      <c r="G40" s="29">
        <f t="shared" si="1"/>
        <v>0</v>
      </c>
      <c r="H40" s="27"/>
      <c r="I40" s="26"/>
    </row>
    <row r="41" spans="1:9" ht="12.75" x14ac:dyDescent="0.2">
      <c r="A41" s="26"/>
      <c r="B41" s="26"/>
      <c r="C41" s="27"/>
      <c r="D41" s="180"/>
      <c r="E41" s="29">
        <f t="shared" si="0"/>
        <v>0</v>
      </c>
      <c r="F41" s="30"/>
      <c r="G41" s="29">
        <f t="shared" si="1"/>
        <v>0</v>
      </c>
      <c r="H41" s="27"/>
      <c r="I41" s="26"/>
    </row>
    <row r="42" spans="1:9" ht="12.75" x14ac:dyDescent="0.2">
      <c r="A42" s="26"/>
      <c r="B42" s="26"/>
      <c r="C42" s="27"/>
      <c r="D42" s="180"/>
      <c r="E42" s="29">
        <f t="shared" si="0"/>
        <v>0</v>
      </c>
      <c r="F42" s="30"/>
      <c r="G42" s="29">
        <f t="shared" si="1"/>
        <v>0</v>
      </c>
      <c r="H42" s="27"/>
      <c r="I42" s="26"/>
    </row>
    <row r="43" spans="1:9" ht="12.75" x14ac:dyDescent="0.2">
      <c r="A43" s="26"/>
      <c r="B43" s="26"/>
      <c r="C43" s="27"/>
      <c r="D43" s="180"/>
      <c r="E43" s="29">
        <f t="shared" si="0"/>
        <v>0</v>
      </c>
      <c r="F43" s="30"/>
      <c r="G43" s="29">
        <f t="shared" si="1"/>
        <v>0</v>
      </c>
      <c r="H43" s="27"/>
      <c r="I43" s="26"/>
    </row>
    <row r="44" spans="1:9" ht="12.75" x14ac:dyDescent="0.2">
      <c r="A44" s="26"/>
      <c r="B44" s="26"/>
      <c r="C44" s="27"/>
      <c r="D44" s="180"/>
      <c r="E44" s="29">
        <f t="shared" si="0"/>
        <v>0</v>
      </c>
      <c r="F44" s="30"/>
      <c r="G44" s="29">
        <f t="shared" si="1"/>
        <v>0</v>
      </c>
      <c r="H44" s="27"/>
      <c r="I44" s="26"/>
    </row>
    <row r="45" spans="1:9" ht="12.75" x14ac:dyDescent="0.2">
      <c r="A45" s="26"/>
      <c r="B45" s="26"/>
      <c r="C45" s="27"/>
      <c r="D45" s="180"/>
      <c r="E45" s="29">
        <f t="shared" si="0"/>
        <v>0</v>
      </c>
      <c r="F45" s="30"/>
      <c r="G45" s="29">
        <f t="shared" si="1"/>
        <v>0</v>
      </c>
      <c r="H45" s="27"/>
      <c r="I45" s="26"/>
    </row>
    <row r="46" spans="1:9" ht="12.75" x14ac:dyDescent="0.2">
      <c r="A46" s="26"/>
      <c r="B46" s="26"/>
      <c r="C46" s="27"/>
      <c r="D46" s="180"/>
      <c r="E46" s="29">
        <f t="shared" si="0"/>
        <v>0</v>
      </c>
      <c r="F46" s="30"/>
      <c r="G46" s="29">
        <f t="shared" si="1"/>
        <v>0</v>
      </c>
      <c r="H46" s="27"/>
      <c r="I46" s="26"/>
    </row>
    <row r="47" spans="1:9" ht="12.75" x14ac:dyDescent="0.2">
      <c r="A47" s="26"/>
      <c r="B47" s="26"/>
      <c r="C47" s="27"/>
      <c r="D47" s="180"/>
      <c r="E47" s="29">
        <f t="shared" si="0"/>
        <v>0</v>
      </c>
      <c r="F47" s="30"/>
      <c r="G47" s="29">
        <f t="shared" si="1"/>
        <v>0</v>
      </c>
      <c r="H47" s="27"/>
      <c r="I47" s="26"/>
    </row>
    <row r="48" spans="1:9" ht="12.75" x14ac:dyDescent="0.2">
      <c r="A48" s="26"/>
      <c r="B48" s="26"/>
      <c r="C48" s="27"/>
      <c r="D48" s="180"/>
      <c r="E48" s="29">
        <f t="shared" si="0"/>
        <v>0</v>
      </c>
      <c r="F48" s="30"/>
      <c r="G48" s="29">
        <f t="shared" si="1"/>
        <v>0</v>
      </c>
      <c r="H48" s="27"/>
      <c r="I48" s="26"/>
    </row>
    <row r="49" spans="1:9" ht="12.75" x14ac:dyDescent="0.2">
      <c r="A49" s="26"/>
      <c r="B49" s="26"/>
      <c r="C49" s="27"/>
      <c r="D49" s="180"/>
      <c r="E49" s="29">
        <f t="shared" si="0"/>
        <v>0</v>
      </c>
      <c r="F49" s="30"/>
      <c r="G49" s="29">
        <f t="shared" si="1"/>
        <v>0</v>
      </c>
      <c r="H49" s="27"/>
      <c r="I49" s="26"/>
    </row>
    <row r="50" spans="1:9" ht="12.75" x14ac:dyDescent="0.2">
      <c r="A50" s="26"/>
      <c r="B50" s="26"/>
      <c r="C50" s="27"/>
      <c r="D50" s="180"/>
      <c r="E50" s="29">
        <f t="shared" si="0"/>
        <v>0</v>
      </c>
      <c r="F50" s="30"/>
      <c r="G50" s="29">
        <f t="shared" si="1"/>
        <v>0</v>
      </c>
      <c r="H50" s="27"/>
      <c r="I50" s="26"/>
    </row>
    <row r="51" spans="1:9" ht="12.75" x14ac:dyDescent="0.2">
      <c r="A51" s="26"/>
      <c r="B51" s="26"/>
      <c r="C51" s="27"/>
      <c r="D51" s="180"/>
      <c r="E51" s="29">
        <f t="shared" si="0"/>
        <v>0</v>
      </c>
      <c r="F51" s="30"/>
      <c r="G51" s="29">
        <f t="shared" si="1"/>
        <v>0</v>
      </c>
      <c r="H51" s="27"/>
      <c r="I51" s="26"/>
    </row>
    <row r="52" spans="1:9" ht="12.75" x14ac:dyDescent="0.2">
      <c r="A52" s="26"/>
      <c r="B52" s="26"/>
      <c r="C52" s="27"/>
      <c r="D52" s="180"/>
      <c r="E52" s="29">
        <f t="shared" si="0"/>
        <v>0</v>
      </c>
      <c r="F52" s="30"/>
      <c r="G52" s="29">
        <f t="shared" si="1"/>
        <v>0</v>
      </c>
      <c r="H52" s="27"/>
      <c r="I52" s="26"/>
    </row>
    <row r="53" spans="1:9" ht="12.75" x14ac:dyDescent="0.2">
      <c r="A53" s="26"/>
      <c r="B53" s="26"/>
      <c r="C53" s="27"/>
      <c r="D53" s="180"/>
      <c r="E53" s="29">
        <f t="shared" si="0"/>
        <v>0</v>
      </c>
      <c r="F53" s="30"/>
      <c r="G53" s="29">
        <f t="shared" si="1"/>
        <v>0</v>
      </c>
      <c r="H53" s="27"/>
      <c r="I53" s="26"/>
    </row>
    <row r="54" spans="1:9" ht="12.75" x14ac:dyDescent="0.2">
      <c r="A54" s="26"/>
      <c r="B54" s="26"/>
      <c r="C54" s="27"/>
      <c r="D54" s="180"/>
      <c r="E54" s="29">
        <f t="shared" si="0"/>
        <v>0</v>
      </c>
      <c r="F54" s="30"/>
      <c r="G54" s="29">
        <f t="shared" si="1"/>
        <v>0</v>
      </c>
      <c r="H54" s="27"/>
      <c r="I54" s="26"/>
    </row>
    <row r="55" spans="1:9" ht="12.75" x14ac:dyDescent="0.2">
      <c r="A55" s="26"/>
      <c r="B55" s="26"/>
      <c r="C55" s="27"/>
      <c r="D55" s="180"/>
      <c r="E55" s="29">
        <f t="shared" si="0"/>
        <v>0</v>
      </c>
      <c r="F55" s="30"/>
      <c r="G55" s="29">
        <f t="shared" si="1"/>
        <v>0</v>
      </c>
      <c r="H55" s="27"/>
      <c r="I55" s="26"/>
    </row>
    <row r="56" spans="1:9" ht="12.75" x14ac:dyDescent="0.2">
      <c r="A56" s="26"/>
      <c r="B56" s="26"/>
      <c r="C56" s="27"/>
      <c r="D56" s="180"/>
      <c r="E56" s="29">
        <f t="shared" si="0"/>
        <v>0</v>
      </c>
      <c r="F56" s="30"/>
      <c r="G56" s="29">
        <f t="shared" si="1"/>
        <v>0</v>
      </c>
      <c r="H56" s="27"/>
      <c r="I56" s="26"/>
    </row>
    <row r="57" spans="1:9" ht="12.75" x14ac:dyDescent="0.2">
      <c r="A57" s="26"/>
      <c r="B57" s="26"/>
      <c r="C57" s="27"/>
      <c r="D57" s="180"/>
      <c r="E57" s="29">
        <f t="shared" si="0"/>
        <v>0</v>
      </c>
      <c r="F57" s="30"/>
      <c r="G57" s="29">
        <f t="shared" si="1"/>
        <v>0</v>
      </c>
      <c r="H57" s="27"/>
      <c r="I57" s="26"/>
    </row>
    <row r="58" spans="1:9" ht="12.75" x14ac:dyDescent="0.2">
      <c r="A58" s="26"/>
      <c r="B58" s="26"/>
      <c r="C58" s="27"/>
      <c r="D58" s="180"/>
      <c r="E58" s="29">
        <f t="shared" si="0"/>
        <v>0</v>
      </c>
      <c r="F58" s="30"/>
      <c r="G58" s="29">
        <f t="shared" si="1"/>
        <v>0</v>
      </c>
      <c r="H58" s="27"/>
      <c r="I58" s="26"/>
    </row>
    <row r="59" spans="1:9" ht="12.75" x14ac:dyDescent="0.2">
      <c r="A59" s="26"/>
      <c r="B59" s="26"/>
      <c r="C59" s="27"/>
      <c r="D59" s="180"/>
      <c r="E59" s="29">
        <f t="shared" si="0"/>
        <v>0</v>
      </c>
      <c r="F59" s="30"/>
      <c r="G59" s="29">
        <f t="shared" si="1"/>
        <v>0</v>
      </c>
      <c r="H59" s="27"/>
      <c r="I59" s="26"/>
    </row>
    <row r="60" spans="1:9" ht="12.75" x14ac:dyDescent="0.2">
      <c r="A60" s="26"/>
      <c r="B60" s="26"/>
      <c r="C60" s="27"/>
      <c r="D60" s="180"/>
      <c r="E60" s="29">
        <f t="shared" si="0"/>
        <v>0</v>
      </c>
      <c r="F60" s="30"/>
      <c r="G60" s="29">
        <f t="shared" si="1"/>
        <v>0</v>
      </c>
      <c r="H60" s="27"/>
      <c r="I60" s="26"/>
    </row>
    <row r="61" spans="1:9" ht="12.75" x14ac:dyDescent="0.2">
      <c r="A61" s="26"/>
      <c r="B61" s="26"/>
      <c r="C61" s="27"/>
      <c r="D61" s="180"/>
      <c r="E61" s="29">
        <f t="shared" si="0"/>
        <v>0</v>
      </c>
      <c r="F61" s="30"/>
      <c r="G61" s="29">
        <f t="shared" si="1"/>
        <v>0</v>
      </c>
      <c r="H61" s="27"/>
      <c r="I61" s="26"/>
    </row>
    <row r="62" spans="1:9" ht="12.75" x14ac:dyDescent="0.2">
      <c r="A62" s="26"/>
      <c r="B62" s="26"/>
      <c r="C62" s="27"/>
      <c r="D62" s="180"/>
      <c r="E62" s="29">
        <f t="shared" si="0"/>
        <v>0</v>
      </c>
      <c r="F62" s="30"/>
      <c r="G62" s="29">
        <f t="shared" si="1"/>
        <v>0</v>
      </c>
      <c r="H62" s="27"/>
      <c r="I62" s="26"/>
    </row>
    <row r="63" spans="1:9" ht="12.75" x14ac:dyDescent="0.2">
      <c r="A63" s="26"/>
      <c r="B63" s="26"/>
      <c r="C63" s="27"/>
      <c r="D63" s="180"/>
      <c r="E63" s="29">
        <f t="shared" si="0"/>
        <v>0</v>
      </c>
      <c r="F63" s="30"/>
      <c r="G63" s="29">
        <f t="shared" si="1"/>
        <v>0</v>
      </c>
      <c r="H63" s="27"/>
      <c r="I63" s="26"/>
    </row>
    <row r="64" spans="1:9" ht="12.75" x14ac:dyDescent="0.2">
      <c r="A64" s="26"/>
      <c r="B64" s="26"/>
      <c r="C64" s="27"/>
      <c r="D64" s="180"/>
      <c r="E64" s="29">
        <f t="shared" si="0"/>
        <v>0</v>
      </c>
      <c r="F64" s="30"/>
      <c r="G64" s="29">
        <f t="shared" si="1"/>
        <v>0</v>
      </c>
      <c r="H64" s="27"/>
      <c r="I64" s="26"/>
    </row>
    <row r="65" spans="1:9" ht="12.75" x14ac:dyDescent="0.2">
      <c r="A65" s="26"/>
      <c r="B65" s="26"/>
      <c r="C65" s="27"/>
      <c r="D65" s="180"/>
      <c r="E65" s="29">
        <f t="shared" si="0"/>
        <v>0</v>
      </c>
      <c r="F65" s="30"/>
      <c r="G65" s="29">
        <f t="shared" si="1"/>
        <v>0</v>
      </c>
      <c r="H65" s="27"/>
      <c r="I65" s="26"/>
    </row>
    <row r="66" spans="1:9" ht="12.75" x14ac:dyDescent="0.2">
      <c r="A66" s="26"/>
      <c r="B66" s="26"/>
      <c r="C66" s="27"/>
      <c r="D66" s="180"/>
      <c r="E66" s="29">
        <f t="shared" si="0"/>
        <v>0</v>
      </c>
      <c r="F66" s="30"/>
      <c r="G66" s="29">
        <f t="shared" si="1"/>
        <v>0</v>
      </c>
      <c r="H66" s="27"/>
      <c r="I66" s="26"/>
    </row>
    <row r="67" spans="1:9" ht="12.75" x14ac:dyDescent="0.2">
      <c r="A67" s="26"/>
      <c r="B67" s="26"/>
      <c r="C67" s="27"/>
      <c r="D67" s="180"/>
      <c r="E67" s="29">
        <f t="shared" si="0"/>
        <v>0</v>
      </c>
      <c r="F67" s="30"/>
      <c r="G67" s="29">
        <f t="shared" si="1"/>
        <v>0</v>
      </c>
      <c r="H67" s="27"/>
      <c r="I67" s="26"/>
    </row>
    <row r="68" spans="1:9" ht="12.75" x14ac:dyDescent="0.2">
      <c r="A68" s="26"/>
      <c r="B68" s="26"/>
      <c r="C68" s="27"/>
      <c r="D68" s="180"/>
      <c r="E68" s="29">
        <f t="shared" si="0"/>
        <v>0</v>
      </c>
      <c r="F68" s="30"/>
      <c r="G68" s="29">
        <f t="shared" si="1"/>
        <v>0</v>
      </c>
      <c r="H68" s="27"/>
      <c r="I68" s="26"/>
    </row>
    <row r="69" spans="1:9" ht="12.75" x14ac:dyDescent="0.2">
      <c r="A69" s="26"/>
      <c r="B69" s="26"/>
      <c r="C69" s="27"/>
      <c r="D69" s="180"/>
      <c r="E69" s="29">
        <f t="shared" si="0"/>
        <v>0</v>
      </c>
      <c r="F69" s="30"/>
      <c r="G69" s="29">
        <f t="shared" si="1"/>
        <v>0</v>
      </c>
      <c r="H69" s="27"/>
      <c r="I69" s="26"/>
    </row>
    <row r="70" spans="1:9" ht="12.75" x14ac:dyDescent="0.2">
      <c r="A70" s="26"/>
      <c r="B70" s="26"/>
      <c r="C70" s="27"/>
      <c r="D70" s="180"/>
      <c r="E70" s="29">
        <f t="shared" si="0"/>
        <v>0</v>
      </c>
      <c r="F70" s="30"/>
      <c r="G70" s="29">
        <f t="shared" si="1"/>
        <v>0</v>
      </c>
      <c r="H70" s="27"/>
      <c r="I70" s="26"/>
    </row>
    <row r="71" spans="1:9" ht="12.75" x14ac:dyDescent="0.2">
      <c r="A71" s="26"/>
      <c r="B71" s="26"/>
      <c r="C71" s="27"/>
      <c r="D71" s="180"/>
      <c r="E71" s="29">
        <f t="shared" si="0"/>
        <v>0</v>
      </c>
      <c r="F71" s="30"/>
      <c r="G71" s="29">
        <f t="shared" si="1"/>
        <v>0</v>
      </c>
      <c r="H71" s="27"/>
      <c r="I71" s="26"/>
    </row>
    <row r="72" spans="1:9" ht="12.75" x14ac:dyDescent="0.2">
      <c r="A72" s="26"/>
      <c r="B72" s="26"/>
      <c r="C72" s="27"/>
      <c r="D72" s="180"/>
      <c r="E72" s="29">
        <f t="shared" si="0"/>
        <v>0</v>
      </c>
      <c r="F72" s="30"/>
      <c r="G72" s="29">
        <f t="shared" si="1"/>
        <v>0</v>
      </c>
      <c r="H72" s="27"/>
      <c r="I72" s="26"/>
    </row>
    <row r="73" spans="1:9" ht="12.75" x14ac:dyDescent="0.2">
      <c r="A73" s="26"/>
      <c r="B73" s="26"/>
      <c r="C73" s="27"/>
      <c r="D73" s="180"/>
      <c r="E73" s="29">
        <f t="shared" si="0"/>
        <v>0</v>
      </c>
      <c r="F73" s="30"/>
      <c r="G73" s="29">
        <f t="shared" si="1"/>
        <v>0</v>
      </c>
      <c r="H73" s="27"/>
      <c r="I73" s="26"/>
    </row>
    <row r="74" spans="1:9" ht="12.75" x14ac:dyDescent="0.2">
      <c r="A74" s="26"/>
      <c r="B74" s="26"/>
      <c r="C74" s="27"/>
      <c r="D74" s="180"/>
      <c r="E74" s="29">
        <f t="shared" si="0"/>
        <v>0</v>
      </c>
      <c r="F74" s="30"/>
      <c r="G74" s="29">
        <f t="shared" si="1"/>
        <v>0</v>
      </c>
      <c r="H74" s="27"/>
      <c r="I74" s="26"/>
    </row>
    <row r="75" spans="1:9" ht="12.75" x14ac:dyDescent="0.2">
      <c r="A75" s="26"/>
      <c r="B75" s="26"/>
      <c r="C75" s="27"/>
      <c r="D75" s="180"/>
      <c r="E75" s="29">
        <f t="shared" si="0"/>
        <v>0</v>
      </c>
      <c r="F75" s="30"/>
      <c r="G75" s="29">
        <f t="shared" si="1"/>
        <v>0</v>
      </c>
      <c r="H75" s="27"/>
      <c r="I75" s="26"/>
    </row>
    <row r="76" spans="1:9" ht="12.75" x14ac:dyDescent="0.2">
      <c r="A76" s="26"/>
      <c r="B76" s="26"/>
      <c r="C76" s="27"/>
      <c r="D76" s="180"/>
      <c r="E76" s="29">
        <f t="shared" si="0"/>
        <v>0</v>
      </c>
      <c r="F76" s="30"/>
      <c r="G76" s="29">
        <f t="shared" si="1"/>
        <v>0</v>
      </c>
      <c r="H76" s="27"/>
      <c r="I76" s="26"/>
    </row>
    <row r="77" spans="1:9" ht="12.75" x14ac:dyDescent="0.2">
      <c r="A77" s="26"/>
      <c r="B77" s="26"/>
      <c r="C77" s="27"/>
      <c r="D77" s="180"/>
      <c r="E77" s="29">
        <f t="shared" si="0"/>
        <v>0</v>
      </c>
      <c r="F77" s="30"/>
      <c r="G77" s="29">
        <f t="shared" si="1"/>
        <v>0</v>
      </c>
      <c r="H77" s="27"/>
      <c r="I77" s="26"/>
    </row>
    <row r="78" spans="1:9" ht="12.75" x14ac:dyDescent="0.2">
      <c r="A78" s="26"/>
      <c r="B78" s="26"/>
      <c r="C78" s="27"/>
      <c r="D78" s="180"/>
      <c r="E78" s="29">
        <f t="shared" si="0"/>
        <v>0</v>
      </c>
      <c r="F78" s="30"/>
      <c r="G78" s="29">
        <f t="shared" si="1"/>
        <v>0</v>
      </c>
      <c r="H78" s="27"/>
      <c r="I78" s="26"/>
    </row>
    <row r="79" spans="1:9" ht="12.75" x14ac:dyDescent="0.2">
      <c r="A79" s="26"/>
      <c r="B79" s="26"/>
      <c r="C79" s="27"/>
      <c r="D79" s="180"/>
      <c r="E79" s="29">
        <f t="shared" si="0"/>
        <v>0</v>
      </c>
      <c r="F79" s="30"/>
      <c r="G79" s="29">
        <f t="shared" si="1"/>
        <v>0</v>
      </c>
      <c r="H79" s="27"/>
      <c r="I79" s="26"/>
    </row>
    <row r="80" spans="1:9" ht="12.75" x14ac:dyDescent="0.2">
      <c r="A80" s="26"/>
      <c r="B80" s="26"/>
      <c r="C80" s="27"/>
      <c r="D80" s="180"/>
      <c r="E80" s="29">
        <f t="shared" si="0"/>
        <v>0</v>
      </c>
      <c r="F80" s="30"/>
      <c r="G80" s="29">
        <f t="shared" si="1"/>
        <v>0</v>
      </c>
      <c r="H80" s="27"/>
      <c r="I80" s="26"/>
    </row>
    <row r="81" spans="1:9" ht="12.75" x14ac:dyDescent="0.2">
      <c r="A81" s="26"/>
      <c r="B81" s="26"/>
      <c r="C81" s="27"/>
      <c r="D81" s="180"/>
      <c r="E81" s="29">
        <f t="shared" si="0"/>
        <v>0</v>
      </c>
      <c r="F81" s="30"/>
      <c r="G81" s="29">
        <f t="shared" si="1"/>
        <v>0</v>
      </c>
      <c r="H81" s="27"/>
      <c r="I81" s="26"/>
    </row>
    <row r="82" spans="1:9" ht="12.75" x14ac:dyDescent="0.2">
      <c r="A82" s="31"/>
      <c r="B82" s="31"/>
      <c r="C82" s="32"/>
      <c r="D82" s="196"/>
      <c r="E82" s="34">
        <f t="shared" si="0"/>
        <v>0</v>
      </c>
      <c r="F82" s="35"/>
      <c r="G82" s="34">
        <f t="shared" si="1"/>
        <v>0</v>
      </c>
      <c r="H82" s="32"/>
      <c r="I82" s="31"/>
    </row>
    <row r="83" spans="1:9" ht="12.75" x14ac:dyDescent="0.2">
      <c r="A83" s="31"/>
      <c r="B83" s="31"/>
      <c r="C83" s="32"/>
      <c r="D83" s="196"/>
      <c r="E83" s="34">
        <f t="shared" si="0"/>
        <v>0</v>
      </c>
      <c r="F83" s="35"/>
      <c r="G83" s="34">
        <f t="shared" si="1"/>
        <v>0</v>
      </c>
      <c r="H83" s="32"/>
      <c r="I83" s="31"/>
    </row>
    <row r="84" spans="1:9" ht="12.75" x14ac:dyDescent="0.2">
      <c r="A84" s="26"/>
      <c r="B84" s="26"/>
      <c r="C84" s="27"/>
      <c r="D84" s="180"/>
      <c r="E84" s="29">
        <f t="shared" si="0"/>
        <v>0</v>
      </c>
      <c r="F84" s="30"/>
      <c r="G84" s="29">
        <f t="shared" si="1"/>
        <v>0</v>
      </c>
      <c r="H84" s="27"/>
      <c r="I84" s="26"/>
    </row>
    <row r="85" spans="1:9" ht="12.75" x14ac:dyDescent="0.2">
      <c r="A85" s="31"/>
      <c r="B85" s="31"/>
      <c r="C85" s="32"/>
      <c r="D85" s="196"/>
      <c r="E85" s="34">
        <f t="shared" si="0"/>
        <v>0</v>
      </c>
      <c r="F85" s="35"/>
      <c r="G85" s="34">
        <f t="shared" si="1"/>
        <v>0</v>
      </c>
      <c r="H85" s="32"/>
      <c r="I85" s="31"/>
    </row>
    <row r="86" spans="1:9" ht="12.75" x14ac:dyDescent="0.2">
      <c r="A86" s="31"/>
      <c r="B86" s="31"/>
      <c r="C86" s="32"/>
      <c r="D86" s="196"/>
      <c r="E86" s="34">
        <f t="shared" si="0"/>
        <v>0</v>
      </c>
      <c r="F86" s="35"/>
      <c r="G86" s="34">
        <f t="shared" si="1"/>
        <v>0</v>
      </c>
      <c r="H86" s="32"/>
      <c r="I86" s="31"/>
    </row>
    <row r="87" spans="1:9" ht="12.75" x14ac:dyDescent="0.2">
      <c r="A87" s="31"/>
      <c r="B87" s="31"/>
      <c r="C87" s="32"/>
      <c r="D87" s="196"/>
      <c r="E87" s="34">
        <f t="shared" si="0"/>
        <v>0</v>
      </c>
      <c r="F87" s="35"/>
      <c r="G87" s="34">
        <f t="shared" si="1"/>
        <v>0</v>
      </c>
      <c r="H87" s="32"/>
      <c r="I87" s="31"/>
    </row>
    <row r="88" spans="1:9" ht="12.75" x14ac:dyDescent="0.2">
      <c r="A88" s="31"/>
      <c r="B88" s="31"/>
      <c r="C88" s="32"/>
      <c r="D88" s="196"/>
      <c r="E88" s="34">
        <f t="shared" si="0"/>
        <v>0</v>
      </c>
      <c r="F88" s="35"/>
      <c r="G88" s="34">
        <f t="shared" si="1"/>
        <v>0</v>
      </c>
      <c r="H88" s="32"/>
      <c r="I88" s="31"/>
    </row>
    <row r="89" spans="1:9" ht="12.75" x14ac:dyDescent="0.2">
      <c r="A89" s="31"/>
      <c r="B89" s="31"/>
      <c r="C89" s="32"/>
      <c r="D89" s="196"/>
      <c r="E89" s="34">
        <f t="shared" si="0"/>
        <v>0</v>
      </c>
      <c r="F89" s="35"/>
      <c r="G89" s="34">
        <f t="shared" si="1"/>
        <v>0</v>
      </c>
      <c r="H89" s="32"/>
      <c r="I89" s="31"/>
    </row>
    <row r="90" spans="1:9" ht="12.75" x14ac:dyDescent="0.2">
      <c r="A90" s="31"/>
      <c r="B90" s="31"/>
      <c r="C90" s="32"/>
      <c r="D90" s="196"/>
      <c r="E90" s="34">
        <f t="shared" si="0"/>
        <v>0</v>
      </c>
      <c r="F90" s="35"/>
      <c r="G90" s="34">
        <f t="shared" si="1"/>
        <v>0</v>
      </c>
      <c r="H90" s="32"/>
      <c r="I90" s="31"/>
    </row>
    <row r="91" spans="1:9" ht="12.75" x14ac:dyDescent="0.2">
      <c r="A91" s="31"/>
      <c r="B91" s="31"/>
      <c r="C91" s="32"/>
      <c r="D91" s="196"/>
      <c r="E91" s="34">
        <f t="shared" si="0"/>
        <v>0</v>
      </c>
      <c r="F91" s="35"/>
      <c r="G91" s="34">
        <f t="shared" si="1"/>
        <v>0</v>
      </c>
      <c r="H91" s="32"/>
      <c r="I91" s="31"/>
    </row>
    <row r="92" spans="1:9" ht="12.75" x14ac:dyDescent="0.2">
      <c r="A92" s="31"/>
      <c r="B92" s="31"/>
      <c r="C92" s="32"/>
      <c r="D92" s="196"/>
      <c r="E92" s="34">
        <f t="shared" si="0"/>
        <v>0</v>
      </c>
      <c r="F92" s="35"/>
      <c r="G92" s="34">
        <f t="shared" si="1"/>
        <v>0</v>
      </c>
      <c r="H92" s="32"/>
      <c r="I92" s="31"/>
    </row>
    <row r="93" spans="1:9" ht="12.75" x14ac:dyDescent="0.2">
      <c r="A93" s="31"/>
      <c r="B93" s="31"/>
      <c r="C93" s="32"/>
      <c r="D93" s="196"/>
      <c r="E93" s="34">
        <f t="shared" si="0"/>
        <v>0</v>
      </c>
      <c r="F93" s="35"/>
      <c r="G93" s="34">
        <f t="shared" si="1"/>
        <v>0</v>
      </c>
      <c r="H93" s="32"/>
      <c r="I93" s="31"/>
    </row>
    <row r="94" spans="1:9" ht="12.75" x14ac:dyDescent="0.2">
      <c r="A94" s="31"/>
      <c r="B94" s="31"/>
      <c r="C94" s="32"/>
      <c r="D94" s="196"/>
      <c r="E94" s="34">
        <f t="shared" si="0"/>
        <v>0</v>
      </c>
      <c r="F94" s="35"/>
      <c r="G94" s="34">
        <f t="shared" si="1"/>
        <v>0</v>
      </c>
      <c r="H94" s="32"/>
      <c r="I94" s="31"/>
    </row>
    <row r="95" spans="1:9" ht="12.75" x14ac:dyDescent="0.2">
      <c r="A95" s="31"/>
      <c r="B95" s="31"/>
      <c r="C95" s="32"/>
      <c r="D95" s="196"/>
      <c r="E95" s="34">
        <f t="shared" si="0"/>
        <v>0</v>
      </c>
      <c r="F95" s="35"/>
      <c r="G95" s="34">
        <f t="shared" si="1"/>
        <v>0</v>
      </c>
      <c r="H95" s="32"/>
      <c r="I95" s="31"/>
    </row>
    <row r="96" spans="1:9" ht="12.75" x14ac:dyDescent="0.2">
      <c r="A96" s="31"/>
      <c r="B96" s="31"/>
      <c r="C96" s="32"/>
      <c r="D96" s="196"/>
      <c r="E96" s="34">
        <f t="shared" si="0"/>
        <v>0</v>
      </c>
      <c r="F96" s="35"/>
      <c r="G96" s="34">
        <f t="shared" si="1"/>
        <v>0</v>
      </c>
      <c r="H96" s="32"/>
      <c r="I96" s="31"/>
    </row>
    <row r="97" spans="1:9" ht="12.75" x14ac:dyDescent="0.2">
      <c r="A97" s="31"/>
      <c r="B97" s="31"/>
      <c r="C97" s="32"/>
      <c r="D97" s="196"/>
      <c r="E97" s="34">
        <f t="shared" si="0"/>
        <v>0</v>
      </c>
      <c r="F97" s="35"/>
      <c r="G97" s="34">
        <f t="shared" si="1"/>
        <v>0</v>
      </c>
      <c r="H97" s="32"/>
      <c r="I97" s="31"/>
    </row>
    <row r="98" spans="1:9" ht="12.75" x14ac:dyDescent="0.2">
      <c r="A98" s="31"/>
      <c r="B98" s="31"/>
      <c r="C98" s="32"/>
      <c r="D98" s="196"/>
      <c r="E98" s="34">
        <f t="shared" si="0"/>
        <v>0</v>
      </c>
      <c r="F98" s="35"/>
      <c r="G98" s="34">
        <f t="shared" si="1"/>
        <v>0</v>
      </c>
      <c r="H98" s="32"/>
      <c r="I98" s="31"/>
    </row>
    <row r="99" spans="1:9" ht="12.75" x14ac:dyDescent="0.2">
      <c r="A99" s="31"/>
      <c r="B99" s="31"/>
      <c r="C99" s="32"/>
      <c r="D99" s="196"/>
      <c r="E99" s="34">
        <f t="shared" si="0"/>
        <v>0</v>
      </c>
      <c r="F99" s="35"/>
      <c r="G99" s="34">
        <f t="shared" si="1"/>
        <v>0</v>
      </c>
      <c r="H99" s="32"/>
      <c r="I99" s="31"/>
    </row>
    <row r="100" spans="1:9" ht="12.75" x14ac:dyDescent="0.2">
      <c r="A100" s="31"/>
      <c r="B100" s="31"/>
      <c r="C100" s="32"/>
      <c r="D100" s="196"/>
      <c r="E100" s="34">
        <f t="shared" si="0"/>
        <v>0</v>
      </c>
      <c r="F100" s="35"/>
      <c r="G100" s="34">
        <f t="shared" si="1"/>
        <v>0</v>
      </c>
      <c r="H100" s="32"/>
      <c r="I100" s="31"/>
    </row>
    <row r="101" spans="1:9" ht="12.75" x14ac:dyDescent="0.2">
      <c r="A101" s="31"/>
      <c r="B101" s="31"/>
      <c r="C101" s="32"/>
      <c r="D101" s="196"/>
      <c r="E101" s="34">
        <f t="shared" si="0"/>
        <v>0</v>
      </c>
      <c r="F101" s="35"/>
      <c r="G101" s="34">
        <f t="shared" si="1"/>
        <v>0</v>
      </c>
      <c r="H101" s="32"/>
      <c r="I101" s="31"/>
    </row>
    <row r="102" spans="1:9" ht="12.75" x14ac:dyDescent="0.2">
      <c r="A102" s="31"/>
      <c r="B102" s="31"/>
      <c r="C102" s="32"/>
      <c r="D102" s="196"/>
      <c r="E102" s="34">
        <f t="shared" si="0"/>
        <v>0</v>
      </c>
      <c r="F102" s="35"/>
      <c r="G102" s="34">
        <f t="shared" si="1"/>
        <v>0</v>
      </c>
      <c r="H102" s="32"/>
      <c r="I102" s="31"/>
    </row>
    <row r="103" spans="1:9" ht="12.75" x14ac:dyDescent="0.2">
      <c r="A103" s="31"/>
      <c r="B103" s="31"/>
      <c r="C103" s="32"/>
      <c r="D103" s="196"/>
      <c r="E103" s="34">
        <f t="shared" si="0"/>
        <v>0</v>
      </c>
      <c r="F103" s="35"/>
      <c r="G103" s="34">
        <f t="shared" si="1"/>
        <v>0</v>
      </c>
      <c r="H103" s="32"/>
      <c r="I103" s="31"/>
    </row>
    <row r="104" spans="1:9" ht="12.75" x14ac:dyDescent="0.2">
      <c r="A104" s="31"/>
      <c r="B104" s="31"/>
      <c r="C104" s="32"/>
      <c r="D104" s="196"/>
      <c r="E104" s="34">
        <f t="shared" si="0"/>
        <v>0</v>
      </c>
      <c r="F104" s="35"/>
      <c r="G104" s="34">
        <f t="shared" si="1"/>
        <v>0</v>
      </c>
      <c r="H104" s="32"/>
      <c r="I104" s="31"/>
    </row>
    <row r="105" spans="1:9" ht="12.75" x14ac:dyDescent="0.2">
      <c r="A105" s="31"/>
      <c r="B105" s="31"/>
      <c r="C105" s="32"/>
      <c r="D105" s="196"/>
      <c r="E105" s="34">
        <f t="shared" si="0"/>
        <v>0</v>
      </c>
      <c r="F105" s="35"/>
      <c r="G105" s="34">
        <f t="shared" si="1"/>
        <v>0</v>
      </c>
      <c r="H105" s="32"/>
      <c r="I105" s="31"/>
    </row>
    <row r="106" spans="1:9" ht="12.75" x14ac:dyDescent="0.2">
      <c r="A106" s="31"/>
      <c r="B106" s="31"/>
      <c r="C106" s="32"/>
      <c r="D106" s="196"/>
      <c r="E106" s="34">
        <f t="shared" si="0"/>
        <v>0</v>
      </c>
      <c r="F106" s="35"/>
      <c r="G106" s="34">
        <f t="shared" si="1"/>
        <v>0</v>
      </c>
      <c r="H106" s="32"/>
      <c r="I106" s="31"/>
    </row>
    <row r="107" spans="1:9" ht="12.75" x14ac:dyDescent="0.2">
      <c r="A107" s="31"/>
      <c r="B107" s="31"/>
      <c r="C107" s="32"/>
      <c r="D107" s="196"/>
      <c r="E107" s="34">
        <f t="shared" si="0"/>
        <v>0</v>
      </c>
      <c r="F107" s="35"/>
      <c r="G107" s="34">
        <f t="shared" si="1"/>
        <v>0</v>
      </c>
      <c r="H107" s="32"/>
      <c r="I107" s="31"/>
    </row>
    <row r="108" spans="1:9" ht="12.75" x14ac:dyDescent="0.2">
      <c r="A108" s="31"/>
      <c r="B108" s="31"/>
      <c r="C108" s="32"/>
      <c r="D108" s="196"/>
      <c r="E108" s="34">
        <f t="shared" si="0"/>
        <v>0</v>
      </c>
      <c r="F108" s="35"/>
      <c r="G108" s="34">
        <f t="shared" si="1"/>
        <v>0</v>
      </c>
      <c r="H108" s="32"/>
      <c r="I108" s="31"/>
    </row>
    <row r="109" spans="1:9" ht="12.75" x14ac:dyDescent="0.2">
      <c r="A109" s="31"/>
      <c r="B109" s="31"/>
      <c r="C109" s="32"/>
      <c r="D109" s="196"/>
      <c r="E109" s="34">
        <f t="shared" si="0"/>
        <v>0</v>
      </c>
      <c r="F109" s="35"/>
      <c r="G109" s="34">
        <f t="shared" si="1"/>
        <v>0</v>
      </c>
      <c r="H109" s="32"/>
      <c r="I109" s="31"/>
    </row>
    <row r="110" spans="1:9" ht="12.75" x14ac:dyDescent="0.2">
      <c r="A110" s="31"/>
      <c r="B110" s="31"/>
      <c r="C110" s="32"/>
      <c r="D110" s="196"/>
      <c r="E110" s="34">
        <f t="shared" si="0"/>
        <v>0</v>
      </c>
      <c r="F110" s="35"/>
      <c r="G110" s="34">
        <f t="shared" si="1"/>
        <v>0</v>
      </c>
      <c r="H110" s="32"/>
      <c r="I110" s="31"/>
    </row>
    <row r="111" spans="1:9" ht="12.75" x14ac:dyDescent="0.2">
      <c r="A111" s="31"/>
      <c r="B111" s="31"/>
      <c r="C111" s="32"/>
      <c r="D111" s="196"/>
      <c r="E111" s="34">
        <f t="shared" si="0"/>
        <v>0</v>
      </c>
      <c r="F111" s="35"/>
      <c r="G111" s="34">
        <f t="shared" si="1"/>
        <v>0</v>
      </c>
      <c r="H111" s="32"/>
      <c r="I111" s="31"/>
    </row>
    <row r="112" spans="1:9" ht="12.75" x14ac:dyDescent="0.2">
      <c r="A112" s="31"/>
      <c r="B112" s="31"/>
      <c r="C112" s="32"/>
      <c r="D112" s="196"/>
      <c r="E112" s="34">
        <f t="shared" si="0"/>
        <v>0</v>
      </c>
      <c r="F112" s="35"/>
      <c r="G112" s="34">
        <f t="shared" si="1"/>
        <v>0</v>
      </c>
      <c r="H112" s="32"/>
      <c r="I112" s="31"/>
    </row>
    <row r="113" spans="1:9" ht="12.75" x14ac:dyDescent="0.2">
      <c r="A113" s="31"/>
      <c r="B113" s="31"/>
      <c r="C113" s="32"/>
      <c r="D113" s="196"/>
      <c r="E113" s="34">
        <f t="shared" si="0"/>
        <v>0</v>
      </c>
      <c r="F113" s="35"/>
      <c r="G113" s="34">
        <f t="shared" si="1"/>
        <v>0</v>
      </c>
      <c r="H113" s="32"/>
      <c r="I113" s="31"/>
    </row>
    <row r="114" spans="1:9" ht="12.75" x14ac:dyDescent="0.2">
      <c r="A114" s="31"/>
      <c r="B114" s="31"/>
      <c r="C114" s="32"/>
      <c r="D114" s="196"/>
      <c r="E114" s="34">
        <f t="shared" si="0"/>
        <v>0</v>
      </c>
      <c r="F114" s="35"/>
      <c r="G114" s="34">
        <f t="shared" si="1"/>
        <v>0</v>
      </c>
      <c r="H114" s="32"/>
      <c r="I114" s="31"/>
    </row>
    <row r="115" spans="1:9" ht="12.75" x14ac:dyDescent="0.2">
      <c r="A115" s="31"/>
      <c r="B115" s="31"/>
      <c r="C115" s="32"/>
      <c r="D115" s="196"/>
      <c r="E115" s="34">
        <f t="shared" si="0"/>
        <v>0</v>
      </c>
      <c r="F115" s="35"/>
      <c r="G115" s="34">
        <f t="shared" si="1"/>
        <v>0</v>
      </c>
      <c r="H115" s="32"/>
      <c r="I115" s="31"/>
    </row>
    <row r="116" spans="1:9" ht="12.75" x14ac:dyDescent="0.2">
      <c r="A116" s="31"/>
      <c r="B116" s="31"/>
      <c r="C116" s="32"/>
      <c r="D116" s="196"/>
      <c r="E116" s="34">
        <f t="shared" si="0"/>
        <v>0</v>
      </c>
      <c r="F116" s="35"/>
      <c r="G116" s="34">
        <f t="shared" si="1"/>
        <v>0</v>
      </c>
      <c r="H116" s="32"/>
      <c r="I116" s="31"/>
    </row>
    <row r="117" spans="1:9" ht="12.75" x14ac:dyDescent="0.2">
      <c r="A117" s="31"/>
      <c r="B117" s="31"/>
      <c r="C117" s="32"/>
      <c r="D117" s="196"/>
      <c r="E117" s="34">
        <f t="shared" si="0"/>
        <v>0</v>
      </c>
      <c r="F117" s="35"/>
      <c r="G117" s="34">
        <f t="shared" si="1"/>
        <v>0</v>
      </c>
      <c r="H117" s="32"/>
      <c r="I117" s="31"/>
    </row>
    <row r="118" spans="1:9" ht="12.75" x14ac:dyDescent="0.2">
      <c r="A118" s="31"/>
      <c r="B118" s="31"/>
      <c r="C118" s="32"/>
      <c r="D118" s="196"/>
      <c r="E118" s="34">
        <f t="shared" si="0"/>
        <v>0</v>
      </c>
      <c r="F118" s="35"/>
      <c r="G118" s="34">
        <f t="shared" si="1"/>
        <v>0</v>
      </c>
      <c r="H118" s="32"/>
      <c r="I118" s="31"/>
    </row>
    <row r="119" spans="1:9" ht="12.75" x14ac:dyDescent="0.2">
      <c r="A119" s="31"/>
      <c r="B119" s="31"/>
      <c r="C119" s="32"/>
      <c r="D119" s="196"/>
      <c r="E119" s="34">
        <f t="shared" si="0"/>
        <v>0</v>
      </c>
      <c r="F119" s="35"/>
      <c r="G119" s="34">
        <f t="shared" si="1"/>
        <v>0</v>
      </c>
      <c r="H119" s="32"/>
      <c r="I119" s="31"/>
    </row>
    <row r="120" spans="1:9" ht="12.75" x14ac:dyDescent="0.2">
      <c r="A120" s="31"/>
      <c r="B120" s="31"/>
      <c r="C120" s="32"/>
      <c r="D120" s="196"/>
      <c r="E120" s="34">
        <f t="shared" si="0"/>
        <v>0</v>
      </c>
      <c r="F120" s="35"/>
      <c r="G120" s="34">
        <f t="shared" si="1"/>
        <v>0</v>
      </c>
      <c r="H120" s="32"/>
      <c r="I120" s="31"/>
    </row>
    <row r="121" spans="1:9" ht="12.75" x14ac:dyDescent="0.2">
      <c r="A121" s="31"/>
      <c r="B121" s="31"/>
      <c r="C121" s="32"/>
      <c r="D121" s="196"/>
      <c r="E121" s="34">
        <f t="shared" si="0"/>
        <v>0</v>
      </c>
      <c r="F121" s="35"/>
      <c r="G121" s="34">
        <f t="shared" si="1"/>
        <v>0</v>
      </c>
      <c r="H121" s="32"/>
      <c r="I121" s="31"/>
    </row>
    <row r="122" spans="1:9" ht="12.75" x14ac:dyDescent="0.2">
      <c r="A122" s="31"/>
      <c r="B122" s="31"/>
      <c r="C122" s="32"/>
      <c r="D122" s="196"/>
      <c r="E122" s="34">
        <f t="shared" si="0"/>
        <v>0</v>
      </c>
      <c r="F122" s="35"/>
      <c r="G122" s="34">
        <f t="shared" si="1"/>
        <v>0</v>
      </c>
      <c r="H122" s="32"/>
      <c r="I122" s="31"/>
    </row>
    <row r="123" spans="1:9" ht="12.75" x14ac:dyDescent="0.2">
      <c r="A123" s="31"/>
      <c r="B123" s="31"/>
      <c r="C123" s="32"/>
      <c r="D123" s="196"/>
      <c r="E123" s="34">
        <f t="shared" si="0"/>
        <v>0</v>
      </c>
      <c r="F123" s="35"/>
      <c r="G123" s="34">
        <f t="shared" si="1"/>
        <v>0</v>
      </c>
      <c r="H123" s="32"/>
      <c r="I123" s="31"/>
    </row>
    <row r="124" spans="1:9" ht="12.75" x14ac:dyDescent="0.2">
      <c r="A124" s="31"/>
      <c r="B124" s="31"/>
      <c r="C124" s="32"/>
      <c r="D124" s="196"/>
      <c r="E124" s="34">
        <f t="shared" si="0"/>
        <v>0</v>
      </c>
      <c r="F124" s="35"/>
      <c r="G124" s="34">
        <f t="shared" si="1"/>
        <v>0</v>
      </c>
      <c r="H124" s="32"/>
      <c r="I124" s="31"/>
    </row>
    <row r="125" spans="1:9" ht="12.75" x14ac:dyDescent="0.2">
      <c r="A125" s="31"/>
      <c r="B125" s="31"/>
      <c r="C125" s="32"/>
      <c r="D125" s="196"/>
      <c r="E125" s="34">
        <f t="shared" si="0"/>
        <v>0</v>
      </c>
      <c r="F125" s="35"/>
      <c r="G125" s="34">
        <f t="shared" si="1"/>
        <v>0</v>
      </c>
      <c r="H125" s="32"/>
      <c r="I125" s="31"/>
    </row>
    <row r="126" spans="1:9" ht="12.75" x14ac:dyDescent="0.2">
      <c r="A126" s="31"/>
      <c r="B126" s="31"/>
      <c r="C126" s="32"/>
      <c r="D126" s="196"/>
      <c r="E126" s="34">
        <f t="shared" si="0"/>
        <v>0</v>
      </c>
      <c r="F126" s="35"/>
      <c r="G126" s="34">
        <f t="shared" si="1"/>
        <v>0</v>
      </c>
      <c r="H126" s="32"/>
      <c r="I126" s="31"/>
    </row>
    <row r="127" spans="1:9" ht="12.75" x14ac:dyDescent="0.2">
      <c r="A127" s="31"/>
      <c r="B127" s="31"/>
      <c r="C127" s="32"/>
      <c r="D127" s="196"/>
      <c r="E127" s="34">
        <f t="shared" si="0"/>
        <v>0</v>
      </c>
      <c r="F127" s="35"/>
      <c r="G127" s="34">
        <f t="shared" si="1"/>
        <v>0</v>
      </c>
      <c r="H127" s="32"/>
      <c r="I127" s="31"/>
    </row>
    <row r="128" spans="1:9" ht="12.75" x14ac:dyDescent="0.2">
      <c r="A128" s="31"/>
      <c r="B128" s="31"/>
      <c r="C128" s="32"/>
      <c r="D128" s="196"/>
      <c r="E128" s="34">
        <f t="shared" si="0"/>
        <v>0</v>
      </c>
      <c r="F128" s="35"/>
      <c r="G128" s="34">
        <f t="shared" si="1"/>
        <v>0</v>
      </c>
      <c r="H128" s="32"/>
      <c r="I128" s="31"/>
    </row>
    <row r="129" spans="1:9" ht="12.75" x14ac:dyDescent="0.2">
      <c r="A129" s="31"/>
      <c r="B129" s="31"/>
      <c r="C129" s="32"/>
      <c r="D129" s="196"/>
      <c r="E129" s="34">
        <f t="shared" si="0"/>
        <v>0</v>
      </c>
      <c r="F129" s="35"/>
      <c r="G129" s="34">
        <f t="shared" si="1"/>
        <v>0</v>
      </c>
      <c r="H129" s="32"/>
      <c r="I129" s="31"/>
    </row>
    <row r="130" spans="1:9" ht="12.75" x14ac:dyDescent="0.2">
      <c r="A130" s="31"/>
      <c r="B130" s="31"/>
      <c r="C130" s="32"/>
      <c r="D130" s="196"/>
      <c r="E130" s="34">
        <f t="shared" si="0"/>
        <v>0</v>
      </c>
      <c r="F130" s="35"/>
      <c r="G130" s="34">
        <f t="shared" si="1"/>
        <v>0</v>
      </c>
      <c r="H130" s="32"/>
      <c r="I130" s="31"/>
    </row>
    <row r="131" spans="1:9" ht="12.75" x14ac:dyDescent="0.2">
      <c r="A131" s="31"/>
      <c r="B131" s="31"/>
      <c r="C131" s="32"/>
      <c r="D131" s="196"/>
      <c r="E131" s="34">
        <f t="shared" si="0"/>
        <v>0</v>
      </c>
      <c r="F131" s="35"/>
      <c r="G131" s="34">
        <f t="shared" si="1"/>
        <v>0</v>
      </c>
      <c r="H131" s="32"/>
      <c r="I131" s="31"/>
    </row>
    <row r="132" spans="1:9" ht="12.75" x14ac:dyDescent="0.2">
      <c r="A132" s="31"/>
      <c r="B132" s="31"/>
      <c r="C132" s="32"/>
      <c r="D132" s="196"/>
      <c r="E132" s="34">
        <f t="shared" si="0"/>
        <v>0</v>
      </c>
      <c r="F132" s="35"/>
      <c r="G132" s="34">
        <f t="shared" si="1"/>
        <v>0</v>
      </c>
      <c r="H132" s="32"/>
      <c r="I132" s="31"/>
    </row>
    <row r="133" spans="1:9" ht="12.75" x14ac:dyDescent="0.2">
      <c r="A133" s="31"/>
      <c r="B133" s="31"/>
      <c r="C133" s="32"/>
      <c r="D133" s="196"/>
      <c r="E133" s="34">
        <f t="shared" si="0"/>
        <v>0</v>
      </c>
      <c r="F133" s="35"/>
      <c r="G133" s="34">
        <f t="shared" si="1"/>
        <v>0</v>
      </c>
      <c r="H133" s="32"/>
      <c r="I133" s="31"/>
    </row>
    <row r="134" spans="1:9" ht="12.75" x14ac:dyDescent="0.2">
      <c r="A134" s="31"/>
      <c r="B134" s="31"/>
      <c r="C134" s="32"/>
      <c r="D134" s="196"/>
      <c r="E134" s="34">
        <f t="shared" si="0"/>
        <v>0</v>
      </c>
      <c r="F134" s="35"/>
      <c r="G134" s="34">
        <f t="shared" si="1"/>
        <v>0</v>
      </c>
      <c r="H134" s="32"/>
      <c r="I134" s="31"/>
    </row>
    <row r="135" spans="1:9" ht="12.75" x14ac:dyDescent="0.2">
      <c r="A135" s="31"/>
      <c r="B135" s="31"/>
      <c r="C135" s="32"/>
      <c r="D135" s="196"/>
      <c r="E135" s="34">
        <f t="shared" si="0"/>
        <v>0</v>
      </c>
      <c r="F135" s="35"/>
      <c r="G135" s="34">
        <f t="shared" si="1"/>
        <v>0</v>
      </c>
      <c r="H135" s="32"/>
      <c r="I135" s="31"/>
    </row>
    <row r="136" spans="1:9" ht="12.75" x14ac:dyDescent="0.2">
      <c r="A136" s="31"/>
      <c r="B136" s="31"/>
      <c r="C136" s="32"/>
      <c r="D136" s="196"/>
      <c r="E136" s="34">
        <f t="shared" si="0"/>
        <v>0</v>
      </c>
      <c r="F136" s="35"/>
      <c r="G136" s="34">
        <f t="shared" si="1"/>
        <v>0</v>
      </c>
      <c r="H136" s="32"/>
      <c r="I136" s="31"/>
    </row>
    <row r="137" spans="1:9" ht="12.75" x14ac:dyDescent="0.2">
      <c r="A137" s="31"/>
      <c r="B137" s="31"/>
      <c r="C137" s="32"/>
      <c r="D137" s="196"/>
      <c r="E137" s="34">
        <f t="shared" si="0"/>
        <v>0</v>
      </c>
      <c r="F137" s="35"/>
      <c r="G137" s="34">
        <f t="shared" si="1"/>
        <v>0</v>
      </c>
      <c r="H137" s="32"/>
      <c r="I137" s="31"/>
    </row>
    <row r="138" spans="1:9" ht="12.75" x14ac:dyDescent="0.2">
      <c r="A138" s="270" t="s">
        <v>44</v>
      </c>
      <c r="B138" s="268"/>
      <c r="C138" s="269"/>
      <c r="D138" s="200">
        <f t="shared" ref="D138:E138" si="2">SUM(D3:D137)</f>
        <v>125824.6</v>
      </c>
      <c r="E138" s="200">
        <f t="shared" si="2"/>
        <v>10696.180086580085</v>
      </c>
      <c r="F138" s="200"/>
      <c r="G138" s="200">
        <f>SUM(G3:G137)</f>
        <v>10696.180086580098</v>
      </c>
      <c r="H138" s="39"/>
      <c r="I138" s="40"/>
    </row>
    <row r="139" spans="1:9" ht="12.75" x14ac:dyDescent="0.2">
      <c r="A139" s="41"/>
      <c r="B139" s="41"/>
      <c r="C139" s="41"/>
      <c r="D139" s="201"/>
      <c r="E139" s="37"/>
      <c r="F139" s="38"/>
      <c r="G139" s="37"/>
      <c r="H139" s="39"/>
      <c r="I139" s="40"/>
    </row>
  </sheetData>
  <autoFilter ref="A2:I137" xr:uid="{00000000-0009-0000-0000-000006000000}"/>
  <mergeCells count="2">
    <mergeCell ref="A138:C138"/>
    <mergeCell ref="A1:I1"/>
  </mergeCells>
  <conditionalFormatting sqref="A1:A139">
    <cfRule type="expression" dxfId="2" priority="1">
      <formula>MATCH(INDIRECT(ADDRESS(ROW(),COLUMN())),INDIRECT("METAS!B:B"),0)&gt;0</formula>
    </cfRule>
  </conditionalFormatting>
  <dataValidations count="2">
    <dataValidation type="list" allowBlank="1" sqref="B3:B137" xr:uid="{00000000-0002-0000-0600-000000000000}">
      <formula1>"URV,RECLASSIFICAÇÃO"</formula1>
    </dataValidation>
    <dataValidation type="list" allowBlank="1" sqref="H3:H137" xr:uid="{00000000-0002-0000-0600-000001000000}">
      <formula1>"ALVARÁS EXPEDIDOS,ALVARÁS RECEBIDOS,EXPEDIR ALVARÁS,REQUERER SEQUESTRO,AGUARDAR PRAZO RPV,AGUARDAR RETORNO DA CONTADORIA,EXPEDIR RPVS,ALVARÁ PARA CORRIGIR,VERIFICAR SE TODOS OS ALVARÁS FORAM RECEBIDOS,PARA IMPLANTAR,PAGO,ENVIAR PARA CONTADORIA,NA CONTADOR"&amp;"IA"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2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.75" customHeight="1" x14ac:dyDescent="0.2"/>
  <cols>
    <col min="1" max="1" width="8.7109375" customWidth="1"/>
    <col min="2" max="2" width="8" customWidth="1"/>
    <col min="3" max="3" width="8.7109375" customWidth="1"/>
    <col min="4" max="4" width="38" customWidth="1"/>
    <col min="5" max="5" width="13.140625" customWidth="1"/>
    <col min="6" max="6" width="54.7109375" customWidth="1"/>
    <col min="7" max="7" width="5" customWidth="1"/>
  </cols>
  <sheetData>
    <row r="1" spans="1:7" ht="15.75" customHeight="1" x14ac:dyDescent="0.2">
      <c r="A1" s="267" t="s">
        <v>367</v>
      </c>
      <c r="B1" s="268"/>
      <c r="C1" s="268"/>
      <c r="D1" s="268"/>
      <c r="E1" s="269"/>
      <c r="F1" s="163"/>
      <c r="G1" s="164"/>
    </row>
    <row r="2" spans="1:7" ht="15.75" customHeight="1" x14ac:dyDescent="0.2">
      <c r="A2" s="165" t="s">
        <v>2</v>
      </c>
      <c r="B2" s="165" t="s">
        <v>1</v>
      </c>
      <c r="C2" s="165" t="s">
        <v>375</v>
      </c>
      <c r="D2" s="165" t="s">
        <v>5</v>
      </c>
      <c r="E2" s="165" t="s">
        <v>6</v>
      </c>
      <c r="F2" s="167" t="s">
        <v>4</v>
      </c>
      <c r="G2" s="167" t="s">
        <v>12</v>
      </c>
    </row>
    <row r="3" spans="1:7" ht="15.75" customHeight="1" x14ac:dyDescent="0.2">
      <c r="A3" s="31">
        <v>20852005</v>
      </c>
      <c r="B3" s="31"/>
      <c r="C3" s="31">
        <v>19802013</v>
      </c>
      <c r="D3" s="32" t="s">
        <v>379</v>
      </c>
      <c r="E3" s="33">
        <v>3132.12</v>
      </c>
      <c r="F3" s="126" t="s">
        <v>52</v>
      </c>
      <c r="G3" s="126"/>
    </row>
    <row r="4" spans="1:7" ht="15.75" customHeight="1" x14ac:dyDescent="0.2">
      <c r="A4" s="31">
        <v>20852005</v>
      </c>
      <c r="B4" s="31"/>
      <c r="C4" s="31">
        <v>19722013</v>
      </c>
      <c r="D4" s="32" t="s">
        <v>383</v>
      </c>
      <c r="E4" s="33">
        <v>2043.29</v>
      </c>
      <c r="F4" s="126" t="s">
        <v>52</v>
      </c>
      <c r="G4" s="126"/>
    </row>
    <row r="5" spans="1:7" ht="15.75" customHeight="1" x14ac:dyDescent="0.2">
      <c r="A5" s="31">
        <v>20852005</v>
      </c>
      <c r="B5" s="31"/>
      <c r="C5" s="31">
        <v>19752013</v>
      </c>
      <c r="D5" s="32" t="s">
        <v>385</v>
      </c>
      <c r="E5" s="33">
        <v>2753.09</v>
      </c>
      <c r="F5" s="126" t="s">
        <v>386</v>
      </c>
      <c r="G5" s="32" t="s">
        <v>51</v>
      </c>
    </row>
    <row r="6" spans="1:7" ht="15.75" customHeight="1" x14ac:dyDescent="0.2">
      <c r="A6" s="31">
        <v>20852005</v>
      </c>
      <c r="B6" s="31"/>
      <c r="C6" s="31">
        <v>19692013</v>
      </c>
      <c r="D6" s="32" t="s">
        <v>387</v>
      </c>
      <c r="E6" s="33">
        <v>2883.01</v>
      </c>
      <c r="F6" s="126" t="s">
        <v>389</v>
      </c>
      <c r="G6" s="32" t="s">
        <v>51</v>
      </c>
    </row>
    <row r="7" spans="1:7" ht="15.75" customHeight="1" x14ac:dyDescent="0.2">
      <c r="A7" s="31">
        <v>20852005</v>
      </c>
      <c r="B7" s="31"/>
      <c r="C7" s="31">
        <v>19842013</v>
      </c>
      <c r="D7" s="32" t="s">
        <v>390</v>
      </c>
      <c r="E7" s="33">
        <v>9056.5</v>
      </c>
      <c r="F7" s="126" t="s">
        <v>52</v>
      </c>
      <c r="G7" s="32" t="s">
        <v>51</v>
      </c>
    </row>
    <row r="8" spans="1:7" ht="15.75" customHeight="1" x14ac:dyDescent="0.2">
      <c r="A8" s="31">
        <v>27562005</v>
      </c>
      <c r="B8" s="31"/>
      <c r="C8" s="31">
        <v>95622011</v>
      </c>
      <c r="D8" s="32" t="s">
        <v>392</v>
      </c>
      <c r="E8" s="33">
        <v>3519.25</v>
      </c>
      <c r="F8" s="126" t="s">
        <v>52</v>
      </c>
      <c r="G8" s="126"/>
    </row>
    <row r="9" spans="1:7" ht="15.75" customHeight="1" x14ac:dyDescent="0.2">
      <c r="A9" s="31">
        <v>27562005</v>
      </c>
      <c r="B9" s="31"/>
      <c r="C9" s="31">
        <v>95632011</v>
      </c>
      <c r="D9" s="32" t="s">
        <v>393</v>
      </c>
      <c r="E9" s="33">
        <v>3326.99</v>
      </c>
      <c r="F9" s="126" t="s">
        <v>52</v>
      </c>
      <c r="G9" s="126"/>
    </row>
    <row r="10" spans="1:7" ht="15.75" customHeight="1" x14ac:dyDescent="0.2">
      <c r="A10" s="31">
        <v>27562005</v>
      </c>
      <c r="B10" s="31"/>
      <c r="C10" s="31">
        <v>95642011</v>
      </c>
      <c r="D10" s="32" t="s">
        <v>394</v>
      </c>
      <c r="E10" s="33">
        <v>3846.45</v>
      </c>
      <c r="F10" s="126" t="s">
        <v>52</v>
      </c>
      <c r="G10" s="126"/>
    </row>
    <row r="11" spans="1:7" ht="15.75" customHeight="1" x14ac:dyDescent="0.2">
      <c r="A11" s="31">
        <v>27562005</v>
      </c>
      <c r="B11" s="31"/>
      <c r="C11" s="31">
        <v>95592011</v>
      </c>
      <c r="D11" s="32" t="s">
        <v>397</v>
      </c>
      <c r="E11" s="33">
        <v>3350.6</v>
      </c>
      <c r="F11" s="126" t="s">
        <v>52</v>
      </c>
      <c r="G11" s="126"/>
    </row>
    <row r="12" spans="1:7" ht="15.75" customHeight="1" x14ac:dyDescent="0.2">
      <c r="A12" s="31">
        <v>27562005</v>
      </c>
      <c r="B12" s="31"/>
      <c r="C12" s="31">
        <v>95532011</v>
      </c>
      <c r="D12" s="32" t="s">
        <v>398</v>
      </c>
      <c r="E12" s="33">
        <v>3064.7</v>
      </c>
      <c r="F12" s="126" t="s">
        <v>52</v>
      </c>
      <c r="G12" s="126"/>
    </row>
    <row r="13" spans="1:7" ht="15.75" customHeight="1" x14ac:dyDescent="0.2">
      <c r="A13" s="31">
        <v>27562005</v>
      </c>
      <c r="B13" s="31"/>
      <c r="C13" s="31">
        <v>95672011</v>
      </c>
      <c r="D13" s="32" t="s">
        <v>400</v>
      </c>
      <c r="E13" s="33">
        <v>855.4</v>
      </c>
      <c r="F13" s="126" t="s">
        <v>52</v>
      </c>
      <c r="G13" s="126"/>
    </row>
    <row r="14" spans="1:7" ht="15.75" customHeight="1" x14ac:dyDescent="0.2">
      <c r="A14" s="170">
        <v>27572003</v>
      </c>
      <c r="B14" s="170"/>
      <c r="C14" s="170">
        <v>265732011</v>
      </c>
      <c r="D14" s="79" t="s">
        <v>401</v>
      </c>
      <c r="E14" s="84">
        <v>9035.2999999999993</v>
      </c>
      <c r="F14" s="79" t="s">
        <v>52</v>
      </c>
      <c r="G14" s="79"/>
    </row>
    <row r="15" spans="1:7" ht="15.75" customHeight="1" x14ac:dyDescent="0.2">
      <c r="A15" s="44">
        <v>33662005</v>
      </c>
      <c r="B15" s="171"/>
      <c r="C15" s="171">
        <v>292292013</v>
      </c>
      <c r="D15" s="172" t="s">
        <v>406</v>
      </c>
      <c r="E15" s="100">
        <v>5891.14</v>
      </c>
      <c r="F15" s="139" t="s">
        <v>52</v>
      </c>
      <c r="G15" s="173"/>
    </row>
    <row r="16" spans="1:7" ht="15.75" customHeight="1" x14ac:dyDescent="0.2">
      <c r="A16" s="51">
        <v>33662005</v>
      </c>
      <c r="B16" s="31"/>
      <c r="C16" s="31">
        <v>292282013</v>
      </c>
      <c r="D16" s="32" t="s">
        <v>411</v>
      </c>
      <c r="E16" s="33">
        <v>6433.58</v>
      </c>
      <c r="F16" s="126" t="s">
        <v>52</v>
      </c>
      <c r="G16" s="174" t="s">
        <v>51</v>
      </c>
    </row>
    <row r="17" spans="1:7" ht="15.75" customHeight="1" x14ac:dyDescent="0.2">
      <c r="A17" s="51">
        <v>33662005</v>
      </c>
      <c r="B17" s="31"/>
      <c r="C17" s="31">
        <v>292232013</v>
      </c>
      <c r="D17" s="32" t="s">
        <v>414</v>
      </c>
      <c r="E17" s="33">
        <v>5674.26</v>
      </c>
      <c r="F17" s="53" t="s">
        <v>73</v>
      </c>
      <c r="G17" s="174" t="s">
        <v>51</v>
      </c>
    </row>
    <row r="18" spans="1:7" ht="15.75" customHeight="1" x14ac:dyDescent="0.2">
      <c r="A18" s="51">
        <v>33662005</v>
      </c>
      <c r="B18" s="31"/>
      <c r="C18" s="31">
        <v>292192013</v>
      </c>
      <c r="D18" s="32" t="s">
        <v>416</v>
      </c>
      <c r="E18" s="33">
        <v>5663.91</v>
      </c>
      <c r="F18" s="126" t="s">
        <v>52</v>
      </c>
      <c r="G18" s="174" t="s">
        <v>51</v>
      </c>
    </row>
    <row r="19" spans="1:7" ht="15.75" customHeight="1" x14ac:dyDescent="0.2">
      <c r="A19" s="51">
        <v>33662005</v>
      </c>
      <c r="B19" s="31"/>
      <c r="C19" s="31">
        <v>292162013</v>
      </c>
      <c r="D19" s="32" t="s">
        <v>418</v>
      </c>
      <c r="E19" s="33">
        <v>5979.83</v>
      </c>
      <c r="F19" s="126" t="s">
        <v>52</v>
      </c>
      <c r="G19" s="174" t="s">
        <v>51</v>
      </c>
    </row>
    <row r="20" spans="1:7" ht="15.75" customHeight="1" x14ac:dyDescent="0.2">
      <c r="A20" s="68">
        <v>33662005</v>
      </c>
      <c r="B20" s="175"/>
      <c r="C20" s="175">
        <v>292092013</v>
      </c>
      <c r="D20" s="176" t="s">
        <v>421</v>
      </c>
      <c r="E20" s="153">
        <v>6326.81</v>
      </c>
      <c r="F20" s="131" t="s">
        <v>52</v>
      </c>
      <c r="G20" s="178" t="s">
        <v>51</v>
      </c>
    </row>
    <row r="21" spans="1:7" ht="15.75" customHeight="1" x14ac:dyDescent="0.2">
      <c r="A21" s="26">
        <v>36532005</v>
      </c>
      <c r="B21" s="26"/>
      <c r="C21" s="26">
        <v>287042013</v>
      </c>
      <c r="D21" s="27" t="s">
        <v>425</v>
      </c>
      <c r="E21" s="28">
        <v>2186.5</v>
      </c>
      <c r="F21" s="127" t="s">
        <v>52</v>
      </c>
      <c r="G21" s="27" t="s">
        <v>51</v>
      </c>
    </row>
    <row r="22" spans="1:7" ht="15.75" customHeight="1" x14ac:dyDescent="0.2">
      <c r="A22" s="31">
        <v>36532005</v>
      </c>
      <c r="B22" s="31"/>
      <c r="C22" s="31">
        <v>281292013</v>
      </c>
      <c r="D22" s="32" t="s">
        <v>428</v>
      </c>
      <c r="E22" s="33">
        <v>12502.98</v>
      </c>
      <c r="F22" s="126" t="s">
        <v>52</v>
      </c>
      <c r="G22" s="32" t="s">
        <v>51</v>
      </c>
    </row>
    <row r="23" spans="1:7" ht="15.75" customHeight="1" x14ac:dyDescent="0.2">
      <c r="A23" s="31">
        <v>36532005</v>
      </c>
      <c r="B23" s="31"/>
      <c r="C23" s="31">
        <v>281312013</v>
      </c>
      <c r="D23" s="32" t="s">
        <v>429</v>
      </c>
      <c r="E23" s="33">
        <v>2080.17</v>
      </c>
      <c r="F23" s="126" t="s">
        <v>52</v>
      </c>
      <c r="G23" s="32" t="s">
        <v>51</v>
      </c>
    </row>
    <row r="24" spans="1:7" ht="15.75" customHeight="1" x14ac:dyDescent="0.2">
      <c r="A24" s="31">
        <v>36532005</v>
      </c>
      <c r="B24" s="31"/>
      <c r="C24" s="31">
        <v>286692013</v>
      </c>
      <c r="D24" s="126" t="s">
        <v>431</v>
      </c>
      <c r="E24" s="33">
        <v>11097.2</v>
      </c>
      <c r="F24" s="126" t="s">
        <v>386</v>
      </c>
      <c r="G24" s="32" t="s">
        <v>51</v>
      </c>
    </row>
    <row r="25" spans="1:7" ht="15.75" customHeight="1" x14ac:dyDescent="0.2">
      <c r="A25" s="31">
        <v>36532005</v>
      </c>
      <c r="B25" s="31"/>
      <c r="C25" s="31">
        <v>286712013</v>
      </c>
      <c r="D25" s="32" t="s">
        <v>432</v>
      </c>
      <c r="E25" s="33">
        <v>2322.52</v>
      </c>
      <c r="F25" s="126" t="s">
        <v>52</v>
      </c>
      <c r="G25" s="32" t="s">
        <v>51</v>
      </c>
    </row>
    <row r="26" spans="1:7" ht="15.75" customHeight="1" x14ac:dyDescent="0.2">
      <c r="A26" s="31">
        <v>36612005</v>
      </c>
      <c r="B26" s="31"/>
      <c r="C26" s="31">
        <v>267212013</v>
      </c>
      <c r="D26" s="32" t="s">
        <v>434</v>
      </c>
      <c r="E26" s="33">
        <v>2121.91</v>
      </c>
      <c r="F26" s="126" t="s">
        <v>52</v>
      </c>
      <c r="G26" s="32" t="s">
        <v>51</v>
      </c>
    </row>
    <row r="27" spans="1:7" ht="15.75" customHeight="1" x14ac:dyDescent="0.2">
      <c r="A27" s="31">
        <v>36612005</v>
      </c>
      <c r="B27" s="31"/>
      <c r="C27" s="31">
        <v>267132013</v>
      </c>
      <c r="D27" s="32" t="s">
        <v>435</v>
      </c>
      <c r="E27" s="33">
        <v>953.1</v>
      </c>
      <c r="F27" s="126" t="s">
        <v>52</v>
      </c>
      <c r="G27" s="32" t="s">
        <v>51</v>
      </c>
    </row>
    <row r="28" spans="1:7" ht="15.75" customHeight="1" x14ac:dyDescent="0.2">
      <c r="A28" s="31">
        <v>36612005</v>
      </c>
      <c r="B28" s="31"/>
      <c r="C28" s="31">
        <v>267042013</v>
      </c>
      <c r="D28" s="32" t="s">
        <v>438</v>
      </c>
      <c r="E28" s="33">
        <v>4069.75</v>
      </c>
      <c r="F28" s="126" t="s">
        <v>52</v>
      </c>
      <c r="G28" s="32" t="s">
        <v>51</v>
      </c>
    </row>
    <row r="29" spans="1:7" ht="15.75" customHeight="1" x14ac:dyDescent="0.2">
      <c r="A29" s="31">
        <v>36612005</v>
      </c>
      <c r="B29" s="31"/>
      <c r="C29" s="31">
        <v>267162013</v>
      </c>
      <c r="D29" s="32" t="s">
        <v>439</v>
      </c>
      <c r="E29" s="33">
        <v>1714.92</v>
      </c>
      <c r="F29" s="126" t="s">
        <v>52</v>
      </c>
      <c r="G29" s="32" t="s">
        <v>51</v>
      </c>
    </row>
    <row r="30" spans="1:7" ht="15.75" customHeight="1" x14ac:dyDescent="0.2">
      <c r="A30" s="31">
        <v>46932005</v>
      </c>
      <c r="B30" s="31"/>
      <c r="C30" s="31">
        <v>293532013</v>
      </c>
      <c r="D30" s="32" t="s">
        <v>441</v>
      </c>
      <c r="E30" s="33">
        <v>1533.02</v>
      </c>
      <c r="F30" s="126" t="s">
        <v>52</v>
      </c>
      <c r="G30" s="32" t="s">
        <v>51</v>
      </c>
    </row>
    <row r="31" spans="1:7" ht="15.75" customHeight="1" x14ac:dyDescent="0.2">
      <c r="A31" s="31">
        <v>46932005</v>
      </c>
      <c r="B31" s="31"/>
      <c r="C31" s="31">
        <v>293512013</v>
      </c>
      <c r="D31" s="32" t="s">
        <v>442</v>
      </c>
      <c r="E31" s="33">
        <v>4104.09</v>
      </c>
      <c r="F31" s="126" t="s">
        <v>52</v>
      </c>
      <c r="G31" s="32" t="s">
        <v>51</v>
      </c>
    </row>
    <row r="32" spans="1:7" ht="15.75" customHeight="1" x14ac:dyDescent="0.2">
      <c r="A32" s="31">
        <v>46932005</v>
      </c>
      <c r="B32" s="31"/>
      <c r="C32" s="31">
        <v>293472013</v>
      </c>
      <c r="D32" s="32" t="s">
        <v>443</v>
      </c>
      <c r="E32" s="33">
        <v>5047.29</v>
      </c>
      <c r="F32" s="126" t="s">
        <v>52</v>
      </c>
      <c r="G32" s="32" t="s">
        <v>51</v>
      </c>
    </row>
    <row r="33" spans="1:7" ht="15.75" customHeight="1" x14ac:dyDescent="0.2">
      <c r="A33" s="31">
        <v>46932005</v>
      </c>
      <c r="B33" s="31"/>
      <c r="C33" s="31">
        <v>293392013</v>
      </c>
      <c r="D33" s="32" t="s">
        <v>446</v>
      </c>
      <c r="E33" s="33">
        <v>4407.1400000000003</v>
      </c>
      <c r="F33" s="126" t="s">
        <v>52</v>
      </c>
      <c r="G33" s="32" t="s">
        <v>51</v>
      </c>
    </row>
    <row r="34" spans="1:7" ht="15.75" customHeight="1" x14ac:dyDescent="0.2">
      <c r="A34" s="31">
        <v>46932005</v>
      </c>
      <c r="B34" s="31"/>
      <c r="C34" s="31">
        <v>293362013</v>
      </c>
      <c r="D34" s="32" t="s">
        <v>447</v>
      </c>
      <c r="E34" s="33">
        <v>3753.89</v>
      </c>
      <c r="F34" s="126" t="s">
        <v>52</v>
      </c>
      <c r="G34" s="32" t="s">
        <v>51</v>
      </c>
    </row>
    <row r="35" spans="1:7" ht="15.75" customHeight="1" x14ac:dyDescent="0.2">
      <c r="A35" s="31">
        <v>47752005</v>
      </c>
      <c r="B35" s="181"/>
      <c r="C35" s="31">
        <v>262042013</v>
      </c>
      <c r="D35" s="32" t="s">
        <v>450</v>
      </c>
      <c r="E35" s="33">
        <v>5900.99</v>
      </c>
      <c r="F35" s="53" t="s">
        <v>52</v>
      </c>
      <c r="G35" s="31" t="s">
        <v>51</v>
      </c>
    </row>
    <row r="36" spans="1:7" ht="15.75" customHeight="1" x14ac:dyDescent="0.2">
      <c r="A36" s="31">
        <v>47752005</v>
      </c>
      <c r="B36" s="181"/>
      <c r="C36" s="31">
        <v>262022013</v>
      </c>
      <c r="D36" s="32" t="s">
        <v>454</v>
      </c>
      <c r="E36" s="33">
        <v>5821.53</v>
      </c>
      <c r="F36" s="182" t="s">
        <v>52</v>
      </c>
      <c r="G36" s="31" t="s">
        <v>51</v>
      </c>
    </row>
    <row r="37" spans="1:7" ht="15.75" customHeight="1" x14ac:dyDescent="0.2">
      <c r="A37" s="31">
        <v>47752005</v>
      </c>
      <c r="B37" s="181"/>
      <c r="C37" s="31">
        <v>261962013</v>
      </c>
      <c r="D37" s="32" t="s">
        <v>458</v>
      </c>
      <c r="E37" s="33">
        <v>10155.44</v>
      </c>
      <c r="F37" s="53" t="s">
        <v>52</v>
      </c>
      <c r="G37" s="31" t="s">
        <v>51</v>
      </c>
    </row>
    <row r="38" spans="1:7" ht="15.75" customHeight="1" x14ac:dyDescent="0.2">
      <c r="A38" s="31">
        <v>47752005</v>
      </c>
      <c r="B38" s="181"/>
      <c r="C38" s="31">
        <v>261932013</v>
      </c>
      <c r="D38" s="32" t="s">
        <v>459</v>
      </c>
      <c r="E38" s="33">
        <v>6076.72</v>
      </c>
      <c r="F38" s="126" t="s">
        <v>52</v>
      </c>
      <c r="G38" s="31" t="s">
        <v>51</v>
      </c>
    </row>
    <row r="39" spans="1:7" ht="12.75" x14ac:dyDescent="0.2">
      <c r="A39" s="31">
        <v>47752005</v>
      </c>
      <c r="B39" s="181"/>
      <c r="C39" s="31">
        <v>261992013</v>
      </c>
      <c r="D39" s="32" t="s">
        <v>460</v>
      </c>
      <c r="E39" s="33">
        <v>5439.82</v>
      </c>
      <c r="F39" s="126" t="s">
        <v>52</v>
      </c>
      <c r="G39" s="31" t="s">
        <v>51</v>
      </c>
    </row>
    <row r="40" spans="1:7" ht="12.75" x14ac:dyDescent="0.2">
      <c r="A40" s="31">
        <v>47922005</v>
      </c>
      <c r="B40" s="31"/>
      <c r="C40" s="31">
        <v>208982012</v>
      </c>
      <c r="D40" s="32" t="s">
        <v>461</v>
      </c>
      <c r="E40" s="33">
        <v>12289.67</v>
      </c>
      <c r="F40" s="126" t="s">
        <v>52</v>
      </c>
      <c r="G40" s="126"/>
    </row>
    <row r="41" spans="1:7" ht="12.75" x14ac:dyDescent="0.2">
      <c r="A41" s="31">
        <v>47922005</v>
      </c>
      <c r="B41" s="31"/>
      <c r="C41" s="31">
        <v>208942012</v>
      </c>
      <c r="D41" s="32" t="s">
        <v>463</v>
      </c>
      <c r="E41" s="33">
        <v>10954.32</v>
      </c>
      <c r="F41" s="126" t="s">
        <v>52</v>
      </c>
      <c r="G41" s="126"/>
    </row>
    <row r="42" spans="1:7" ht="12.75" x14ac:dyDescent="0.2">
      <c r="A42" s="31">
        <v>47922005</v>
      </c>
      <c r="B42" s="31"/>
      <c r="C42" s="31">
        <v>208902012</v>
      </c>
      <c r="D42" s="32" t="s">
        <v>464</v>
      </c>
      <c r="E42" s="33">
        <v>12393.88</v>
      </c>
      <c r="F42" s="126" t="s">
        <v>52</v>
      </c>
      <c r="G42" s="126"/>
    </row>
    <row r="43" spans="1:7" ht="12.75" x14ac:dyDescent="0.2">
      <c r="A43" s="31">
        <v>47922005</v>
      </c>
      <c r="B43" s="31"/>
      <c r="C43" s="31">
        <v>208842012</v>
      </c>
      <c r="D43" s="32" t="s">
        <v>466</v>
      </c>
      <c r="E43" s="33">
        <v>10928.82</v>
      </c>
      <c r="F43" s="126" t="s">
        <v>52</v>
      </c>
      <c r="G43" s="126"/>
    </row>
    <row r="44" spans="1:7" ht="12.75" x14ac:dyDescent="0.2">
      <c r="A44" s="31">
        <v>47922005</v>
      </c>
      <c r="B44" s="31"/>
      <c r="C44" s="31">
        <v>208872012</v>
      </c>
      <c r="D44" s="32" t="s">
        <v>467</v>
      </c>
      <c r="E44" s="33">
        <v>10928.82</v>
      </c>
      <c r="F44" s="126" t="s">
        <v>52</v>
      </c>
      <c r="G44" s="126"/>
    </row>
    <row r="45" spans="1:7" ht="12.75" x14ac:dyDescent="0.2">
      <c r="A45" s="31">
        <v>47922005</v>
      </c>
      <c r="B45" s="31"/>
      <c r="C45" s="31">
        <v>209012012</v>
      </c>
      <c r="D45" s="32" t="s">
        <v>470</v>
      </c>
      <c r="E45" s="33">
        <v>6342.95</v>
      </c>
      <c r="F45" s="126" t="s">
        <v>386</v>
      </c>
      <c r="G45" s="32" t="s">
        <v>51</v>
      </c>
    </row>
    <row r="46" spans="1:7" ht="12.75" x14ac:dyDescent="0.2">
      <c r="A46" s="31">
        <v>48332005</v>
      </c>
      <c r="B46" s="31"/>
      <c r="C46" s="31">
        <v>291692013</v>
      </c>
      <c r="D46" s="32" t="s">
        <v>472</v>
      </c>
      <c r="E46" s="33">
        <v>1862.44</v>
      </c>
      <c r="F46" s="126" t="s">
        <v>52</v>
      </c>
      <c r="G46" s="32" t="s">
        <v>51</v>
      </c>
    </row>
    <row r="47" spans="1:7" ht="12.75" x14ac:dyDescent="0.2">
      <c r="A47" s="31">
        <v>48332005</v>
      </c>
      <c r="B47" s="31"/>
      <c r="C47" s="31">
        <v>291732013</v>
      </c>
      <c r="D47" s="32" t="s">
        <v>473</v>
      </c>
      <c r="E47" s="33">
        <v>3582.05</v>
      </c>
      <c r="F47" s="126" t="s">
        <v>52</v>
      </c>
      <c r="G47" s="32" t="s">
        <v>51</v>
      </c>
    </row>
    <row r="48" spans="1:7" ht="12.75" x14ac:dyDescent="0.2">
      <c r="A48" s="31">
        <v>48332005</v>
      </c>
      <c r="B48" s="31"/>
      <c r="C48" s="31">
        <v>291722013</v>
      </c>
      <c r="D48" s="32" t="s">
        <v>474</v>
      </c>
      <c r="E48" s="33">
        <v>3471.78</v>
      </c>
      <c r="F48" s="126" t="s">
        <v>52</v>
      </c>
      <c r="G48" s="32" t="s">
        <v>51</v>
      </c>
    </row>
    <row r="49" spans="1:7" ht="12.75" x14ac:dyDescent="0.2">
      <c r="A49" s="31">
        <v>48332005</v>
      </c>
      <c r="B49" s="31"/>
      <c r="C49" s="31">
        <v>291712013</v>
      </c>
      <c r="D49" s="32" t="s">
        <v>477</v>
      </c>
      <c r="E49" s="33">
        <v>774.36</v>
      </c>
      <c r="F49" s="126" t="s">
        <v>52</v>
      </c>
      <c r="G49" s="32" t="s">
        <v>51</v>
      </c>
    </row>
    <row r="50" spans="1:7" ht="12.75" x14ac:dyDescent="0.2">
      <c r="A50" s="31">
        <v>48332005</v>
      </c>
      <c r="B50" s="31"/>
      <c r="C50" s="31">
        <v>291682013</v>
      </c>
      <c r="D50" s="32" t="s">
        <v>478</v>
      </c>
      <c r="E50" s="33">
        <v>2423.46</v>
      </c>
      <c r="F50" s="126" t="s">
        <v>52</v>
      </c>
      <c r="G50" s="32" t="s">
        <v>51</v>
      </c>
    </row>
    <row r="51" spans="1:7" ht="12.75" x14ac:dyDescent="0.2">
      <c r="A51" s="31">
        <v>53632009</v>
      </c>
      <c r="B51" s="31"/>
      <c r="C51" s="31">
        <v>280642013</v>
      </c>
      <c r="D51" s="32" t="s">
        <v>480</v>
      </c>
      <c r="E51" s="33">
        <v>1752.39</v>
      </c>
      <c r="F51" s="126" t="s">
        <v>52</v>
      </c>
      <c r="G51" s="126"/>
    </row>
    <row r="52" spans="1:7" ht="12.75" x14ac:dyDescent="0.2">
      <c r="A52" s="31">
        <v>53632009</v>
      </c>
      <c r="B52" s="31"/>
      <c r="C52" s="31">
        <v>280572013</v>
      </c>
      <c r="D52" s="32" t="s">
        <v>482</v>
      </c>
      <c r="E52" s="33">
        <v>2619.0300000000002</v>
      </c>
      <c r="F52" s="126" t="s">
        <v>52</v>
      </c>
      <c r="G52" s="126"/>
    </row>
    <row r="53" spans="1:7" ht="12.75" x14ac:dyDescent="0.2">
      <c r="A53" s="31">
        <v>53632009</v>
      </c>
      <c r="B53" s="31"/>
      <c r="C53" s="31">
        <v>280532013</v>
      </c>
      <c r="D53" s="32" t="s">
        <v>484</v>
      </c>
      <c r="E53" s="33">
        <v>1676.13</v>
      </c>
      <c r="F53" s="126" t="s">
        <v>52</v>
      </c>
      <c r="G53" s="126"/>
    </row>
    <row r="54" spans="1:7" ht="12.75" x14ac:dyDescent="0.2">
      <c r="A54" s="31">
        <v>53632009</v>
      </c>
      <c r="B54" s="31"/>
      <c r="C54" s="31">
        <v>280452013</v>
      </c>
      <c r="D54" s="32" t="s">
        <v>485</v>
      </c>
      <c r="E54" s="33">
        <v>6042.47</v>
      </c>
      <c r="F54" s="126" t="s">
        <v>52</v>
      </c>
      <c r="G54" s="126"/>
    </row>
    <row r="55" spans="1:7" ht="12.75" x14ac:dyDescent="0.2">
      <c r="A55" s="31">
        <v>53632009</v>
      </c>
      <c r="B55" s="31"/>
      <c r="C55" s="31">
        <v>280662013</v>
      </c>
      <c r="D55" s="32" t="s">
        <v>487</v>
      </c>
      <c r="E55" s="33">
        <v>749.01</v>
      </c>
      <c r="F55" s="126" t="s">
        <v>52</v>
      </c>
      <c r="G55" s="32" t="s">
        <v>51</v>
      </c>
    </row>
    <row r="56" spans="1:7" ht="12.75" x14ac:dyDescent="0.2">
      <c r="A56" s="31">
        <v>53632009</v>
      </c>
      <c r="B56" s="31"/>
      <c r="C56" s="31">
        <v>280612013</v>
      </c>
      <c r="D56" s="32" t="s">
        <v>488</v>
      </c>
      <c r="E56" s="33">
        <v>3245.73</v>
      </c>
      <c r="F56" s="126" t="s">
        <v>52</v>
      </c>
      <c r="G56" s="32" t="s">
        <v>51</v>
      </c>
    </row>
    <row r="57" spans="1:7" ht="12.75" x14ac:dyDescent="0.2">
      <c r="A57" s="31">
        <v>53632009</v>
      </c>
      <c r="B57" s="31"/>
      <c r="C57" s="31">
        <v>280552013</v>
      </c>
      <c r="D57" s="32" t="s">
        <v>490</v>
      </c>
      <c r="E57" s="33">
        <v>11745.18</v>
      </c>
      <c r="F57" s="126" t="s">
        <v>52</v>
      </c>
      <c r="G57" s="32" t="s">
        <v>51</v>
      </c>
    </row>
    <row r="58" spans="1:7" ht="12.75" x14ac:dyDescent="0.2">
      <c r="A58" s="31">
        <v>53632009</v>
      </c>
      <c r="B58" s="31"/>
      <c r="C58" s="31">
        <v>280522013</v>
      </c>
      <c r="D58" s="32" t="s">
        <v>492</v>
      </c>
      <c r="E58" s="33">
        <v>1331.7</v>
      </c>
      <c r="F58" s="126" t="s">
        <v>52</v>
      </c>
      <c r="G58" s="32" t="s">
        <v>51</v>
      </c>
    </row>
    <row r="59" spans="1:7" ht="12.75" x14ac:dyDescent="0.2">
      <c r="A59" s="31">
        <v>53632009</v>
      </c>
      <c r="B59" s="31"/>
      <c r="C59" s="31">
        <v>280502013</v>
      </c>
      <c r="D59" s="32" t="s">
        <v>494</v>
      </c>
      <c r="E59" s="33">
        <v>1299.6500000000001</v>
      </c>
      <c r="F59" s="126" t="s">
        <v>52</v>
      </c>
      <c r="G59" s="32" t="s">
        <v>51</v>
      </c>
    </row>
    <row r="60" spans="1:7" ht="12.75" x14ac:dyDescent="0.2">
      <c r="A60" s="31">
        <v>53632009</v>
      </c>
      <c r="B60" s="31"/>
      <c r="C60" s="31">
        <v>280482013</v>
      </c>
      <c r="D60" s="32" t="s">
        <v>495</v>
      </c>
      <c r="E60" s="33">
        <v>1886.45</v>
      </c>
      <c r="F60" s="126" t="s">
        <v>52</v>
      </c>
      <c r="G60" s="32" t="s">
        <v>51</v>
      </c>
    </row>
    <row r="61" spans="1:7" ht="12.75" x14ac:dyDescent="0.2">
      <c r="A61" s="31">
        <v>53632009</v>
      </c>
      <c r="B61" s="31"/>
      <c r="C61" s="31">
        <v>280472013</v>
      </c>
      <c r="D61" s="32" t="s">
        <v>496</v>
      </c>
      <c r="E61" s="33">
        <v>2644.53</v>
      </c>
      <c r="F61" s="126" t="s">
        <v>52</v>
      </c>
      <c r="G61" s="32" t="s">
        <v>51</v>
      </c>
    </row>
    <row r="62" spans="1:7" ht="12.75" x14ac:dyDescent="0.2">
      <c r="A62" s="31">
        <v>53632009</v>
      </c>
      <c r="B62" s="31"/>
      <c r="C62" s="31">
        <v>279622013</v>
      </c>
      <c r="D62" s="32" t="s">
        <v>497</v>
      </c>
      <c r="E62" s="33">
        <v>1680.6</v>
      </c>
      <c r="F62" s="126" t="s">
        <v>52</v>
      </c>
      <c r="G62" s="32" t="s">
        <v>51</v>
      </c>
    </row>
    <row r="63" spans="1:7" ht="12.75" x14ac:dyDescent="0.2">
      <c r="A63" s="31">
        <v>53632009</v>
      </c>
      <c r="B63" s="31"/>
      <c r="C63" s="31">
        <v>279582013</v>
      </c>
      <c r="D63" s="32" t="s">
        <v>499</v>
      </c>
      <c r="E63" s="33">
        <v>1476.32</v>
      </c>
      <c r="F63" s="126" t="s">
        <v>52</v>
      </c>
      <c r="G63" s="32" t="s">
        <v>51</v>
      </c>
    </row>
    <row r="64" spans="1:7" ht="12.75" x14ac:dyDescent="0.2">
      <c r="A64" s="31">
        <v>53632009</v>
      </c>
      <c r="B64" s="31"/>
      <c r="C64" s="31">
        <v>279552013</v>
      </c>
      <c r="D64" s="32" t="s">
        <v>501</v>
      </c>
      <c r="E64" s="33">
        <v>1648.8</v>
      </c>
      <c r="F64" s="126" t="s">
        <v>52</v>
      </c>
      <c r="G64" s="32" t="s">
        <v>51</v>
      </c>
    </row>
    <row r="65" spans="1:7" ht="12.75" x14ac:dyDescent="0.2">
      <c r="A65" s="31">
        <v>53632009</v>
      </c>
      <c r="B65" s="181"/>
      <c r="C65" s="31">
        <v>279602013</v>
      </c>
      <c r="D65" s="32" t="s">
        <v>503</v>
      </c>
      <c r="E65" s="33">
        <v>1335.45</v>
      </c>
      <c r="F65" s="53" t="s">
        <v>52</v>
      </c>
      <c r="G65" s="31"/>
    </row>
    <row r="66" spans="1:7" ht="12.75" x14ac:dyDescent="0.2">
      <c r="A66" s="31">
        <v>66182004</v>
      </c>
      <c r="B66" s="31"/>
      <c r="C66" s="31">
        <v>203282012</v>
      </c>
      <c r="D66" s="32" t="s">
        <v>504</v>
      </c>
      <c r="E66" s="33">
        <v>2968.19</v>
      </c>
      <c r="F66" s="126" t="s">
        <v>386</v>
      </c>
      <c r="G66" s="32" t="s">
        <v>51</v>
      </c>
    </row>
    <row r="67" spans="1:7" ht="12.75" x14ac:dyDescent="0.2">
      <c r="A67" s="31">
        <v>66242004</v>
      </c>
      <c r="B67" s="31"/>
      <c r="C67" s="31">
        <v>90192011</v>
      </c>
      <c r="D67" s="32" t="s">
        <v>506</v>
      </c>
      <c r="E67" s="33">
        <v>3121.66</v>
      </c>
      <c r="F67" s="126" t="s">
        <v>52</v>
      </c>
      <c r="G67" s="126"/>
    </row>
    <row r="68" spans="1:7" ht="12.75" x14ac:dyDescent="0.2">
      <c r="A68" s="31">
        <v>69582007</v>
      </c>
      <c r="B68" s="31"/>
      <c r="C68" s="31">
        <v>292992013</v>
      </c>
      <c r="D68" s="32" t="s">
        <v>507</v>
      </c>
      <c r="E68" s="33">
        <v>856.98</v>
      </c>
      <c r="F68" s="126" t="s">
        <v>52</v>
      </c>
      <c r="G68" s="32" t="s">
        <v>51</v>
      </c>
    </row>
    <row r="69" spans="1:7" ht="12.75" x14ac:dyDescent="0.2">
      <c r="A69" s="31">
        <v>69582007</v>
      </c>
      <c r="B69" s="31"/>
      <c r="C69" s="31">
        <v>293212013</v>
      </c>
      <c r="D69" s="32" t="s">
        <v>509</v>
      </c>
      <c r="E69" s="33">
        <v>1325.89</v>
      </c>
      <c r="F69" s="126" t="s">
        <v>52</v>
      </c>
      <c r="G69" s="32" t="s">
        <v>51</v>
      </c>
    </row>
    <row r="70" spans="1:7" ht="12.75" x14ac:dyDescent="0.2">
      <c r="A70" s="31">
        <v>69582007</v>
      </c>
      <c r="B70" s="31"/>
      <c r="C70" s="31">
        <v>293132013</v>
      </c>
      <c r="D70" s="32" t="s">
        <v>510</v>
      </c>
      <c r="E70" s="33">
        <v>1483.04</v>
      </c>
      <c r="F70" s="126" t="s">
        <v>52</v>
      </c>
      <c r="G70" s="32" t="s">
        <v>51</v>
      </c>
    </row>
    <row r="71" spans="1:7" ht="12.75" x14ac:dyDescent="0.2">
      <c r="A71" s="31">
        <v>69582007</v>
      </c>
      <c r="B71" s="31"/>
      <c r="C71" s="31">
        <v>293122013</v>
      </c>
      <c r="D71" s="32" t="s">
        <v>512</v>
      </c>
      <c r="E71" s="33">
        <v>1869.45</v>
      </c>
      <c r="F71" s="126" t="s">
        <v>52</v>
      </c>
      <c r="G71" s="32" t="s">
        <v>51</v>
      </c>
    </row>
    <row r="72" spans="1:7" ht="12.75" x14ac:dyDescent="0.2">
      <c r="A72" s="31">
        <v>69582007</v>
      </c>
      <c r="B72" s="31"/>
      <c r="C72" s="31">
        <v>293112013</v>
      </c>
      <c r="D72" s="32" t="s">
        <v>513</v>
      </c>
      <c r="E72" s="33">
        <v>1969.11</v>
      </c>
      <c r="F72" s="126" t="s">
        <v>52</v>
      </c>
      <c r="G72" s="32" t="s">
        <v>51</v>
      </c>
    </row>
    <row r="73" spans="1:7" ht="12.75" x14ac:dyDescent="0.2">
      <c r="A73" s="31">
        <v>69582007</v>
      </c>
      <c r="B73" s="31"/>
      <c r="C73" s="31">
        <v>293102013</v>
      </c>
      <c r="D73" s="32" t="s">
        <v>514</v>
      </c>
      <c r="E73" s="33">
        <v>3460.55</v>
      </c>
      <c r="F73" s="126" t="s">
        <v>52</v>
      </c>
      <c r="G73" s="32" t="s">
        <v>51</v>
      </c>
    </row>
    <row r="74" spans="1:7" ht="12.75" x14ac:dyDescent="0.2">
      <c r="A74" s="31">
        <v>69582007</v>
      </c>
      <c r="B74" s="31"/>
      <c r="C74" s="31">
        <v>293052013</v>
      </c>
      <c r="D74" s="32" t="s">
        <v>516</v>
      </c>
      <c r="E74" s="33">
        <v>1186.29</v>
      </c>
      <c r="F74" s="126" t="s">
        <v>52</v>
      </c>
      <c r="G74" s="32" t="s">
        <v>51</v>
      </c>
    </row>
    <row r="75" spans="1:7" ht="12.75" x14ac:dyDescent="0.2">
      <c r="A75" s="31">
        <v>69582007</v>
      </c>
      <c r="B75" s="31"/>
      <c r="C75" s="31">
        <v>293042013</v>
      </c>
      <c r="D75" s="32" t="s">
        <v>517</v>
      </c>
      <c r="E75" s="33">
        <v>2000.38</v>
      </c>
      <c r="F75" s="126" t="s">
        <v>52</v>
      </c>
      <c r="G75" s="32" t="s">
        <v>51</v>
      </c>
    </row>
    <row r="76" spans="1:7" ht="12.75" x14ac:dyDescent="0.2">
      <c r="A76" s="31">
        <v>69582007</v>
      </c>
      <c r="B76" s="31"/>
      <c r="C76" s="31">
        <v>293032013</v>
      </c>
      <c r="D76" s="32" t="s">
        <v>519</v>
      </c>
      <c r="E76" s="33">
        <v>3913.09</v>
      </c>
      <c r="F76" s="126" t="s">
        <v>52</v>
      </c>
      <c r="G76" s="32" t="s">
        <v>51</v>
      </c>
    </row>
    <row r="77" spans="1:7" ht="12.75" x14ac:dyDescent="0.2">
      <c r="A77" s="52">
        <v>69582007</v>
      </c>
      <c r="B77" s="193"/>
      <c r="C77" s="52">
        <v>293132013</v>
      </c>
      <c r="D77" s="53" t="s">
        <v>510</v>
      </c>
      <c r="E77" s="54">
        <v>1367.11</v>
      </c>
      <c r="F77" s="53" t="s">
        <v>52</v>
      </c>
      <c r="G77" s="31"/>
    </row>
    <row r="78" spans="1:7" ht="12.75" x14ac:dyDescent="0.2">
      <c r="A78" s="31">
        <v>78702004</v>
      </c>
      <c r="B78" s="31"/>
      <c r="C78" s="31">
        <v>350532012</v>
      </c>
      <c r="D78" s="32" t="s">
        <v>523</v>
      </c>
      <c r="E78" s="33">
        <v>8063.52</v>
      </c>
      <c r="F78" s="126" t="s">
        <v>52</v>
      </c>
      <c r="G78" s="126"/>
    </row>
    <row r="79" spans="1:7" ht="12.75" x14ac:dyDescent="0.2">
      <c r="A79" s="31">
        <v>88562002</v>
      </c>
      <c r="B79" s="31"/>
      <c r="C79" s="31">
        <v>218472010</v>
      </c>
      <c r="D79" s="32" t="s">
        <v>400</v>
      </c>
      <c r="E79" s="33">
        <v>4186.3100000000004</v>
      </c>
      <c r="F79" s="126" t="s">
        <v>52</v>
      </c>
      <c r="G79" s="126"/>
    </row>
    <row r="80" spans="1:7" ht="12.75" x14ac:dyDescent="0.2">
      <c r="A80" s="31">
        <v>91472009</v>
      </c>
      <c r="B80" s="31"/>
      <c r="C80" s="31">
        <v>286062013</v>
      </c>
      <c r="D80" s="32" t="s">
        <v>524</v>
      </c>
      <c r="E80" s="33">
        <v>12956</v>
      </c>
      <c r="F80" s="126" t="s">
        <v>52</v>
      </c>
      <c r="G80" s="126"/>
    </row>
    <row r="81" spans="1:7" ht="12.75" x14ac:dyDescent="0.2">
      <c r="A81" s="31">
        <v>92742005</v>
      </c>
      <c r="B81" s="31"/>
      <c r="C81" s="31">
        <v>292032013</v>
      </c>
      <c r="D81" s="32" t="s">
        <v>525</v>
      </c>
      <c r="E81" s="33">
        <v>974.13</v>
      </c>
      <c r="F81" s="126" t="s">
        <v>52</v>
      </c>
      <c r="G81" s="32" t="s">
        <v>51</v>
      </c>
    </row>
    <row r="82" spans="1:7" ht="12.75" x14ac:dyDescent="0.2">
      <c r="A82" s="31">
        <v>92742005</v>
      </c>
      <c r="B82" s="31"/>
      <c r="C82" s="31">
        <v>291852013</v>
      </c>
      <c r="D82" s="32" t="s">
        <v>526</v>
      </c>
      <c r="E82" s="33">
        <v>3940.97</v>
      </c>
      <c r="F82" s="126" t="s">
        <v>52</v>
      </c>
      <c r="G82" s="32" t="s">
        <v>51</v>
      </c>
    </row>
    <row r="83" spans="1:7" ht="12.75" x14ac:dyDescent="0.2">
      <c r="A83" s="31">
        <v>92742005</v>
      </c>
      <c r="B83" s="31"/>
      <c r="C83" s="31">
        <v>291812013</v>
      </c>
      <c r="D83" s="32" t="s">
        <v>527</v>
      </c>
      <c r="E83" s="33">
        <v>1042.1600000000001</v>
      </c>
      <c r="F83" s="126" t="s">
        <v>52</v>
      </c>
      <c r="G83" s="32" t="s">
        <v>51</v>
      </c>
    </row>
    <row r="84" spans="1:7" ht="12.75" x14ac:dyDescent="0.2">
      <c r="A84" s="31">
        <v>92742005</v>
      </c>
      <c r="B84" s="31"/>
      <c r="C84" s="31">
        <v>292052013</v>
      </c>
      <c r="D84" s="32" t="s">
        <v>529</v>
      </c>
      <c r="E84" s="33">
        <v>1004.28</v>
      </c>
      <c r="F84" s="126" t="s">
        <v>52</v>
      </c>
      <c r="G84" s="32" t="s">
        <v>51</v>
      </c>
    </row>
    <row r="85" spans="1:7" ht="12.75" x14ac:dyDescent="0.2">
      <c r="A85" s="31">
        <v>92742005</v>
      </c>
      <c r="B85" s="31"/>
      <c r="C85" s="31">
        <v>292012013</v>
      </c>
      <c r="D85" s="32" t="s">
        <v>530</v>
      </c>
      <c r="E85" s="33">
        <v>1003.51</v>
      </c>
      <c r="F85" s="126" t="s">
        <v>52</v>
      </c>
      <c r="G85" s="32" t="s">
        <v>51</v>
      </c>
    </row>
    <row r="86" spans="1:7" ht="12.75" x14ac:dyDescent="0.2">
      <c r="A86" s="31">
        <v>92742005</v>
      </c>
      <c r="B86" s="31"/>
      <c r="C86" s="31">
        <v>291972013</v>
      </c>
      <c r="D86" s="32" t="s">
        <v>531</v>
      </c>
      <c r="E86" s="33">
        <v>1006.46</v>
      </c>
      <c r="F86" s="126" t="s">
        <v>52</v>
      </c>
      <c r="G86" s="32" t="s">
        <v>51</v>
      </c>
    </row>
    <row r="87" spans="1:7" ht="12.75" x14ac:dyDescent="0.2">
      <c r="A87" s="31">
        <v>92742005</v>
      </c>
      <c r="B87" s="31"/>
      <c r="C87" s="31">
        <v>291912013</v>
      </c>
      <c r="D87" s="32" t="s">
        <v>533</v>
      </c>
      <c r="E87" s="33">
        <v>2047.3</v>
      </c>
      <c r="F87" s="126" t="s">
        <v>52</v>
      </c>
      <c r="G87" s="32" t="s">
        <v>51</v>
      </c>
    </row>
    <row r="88" spans="1:7" ht="12.75" x14ac:dyDescent="0.2">
      <c r="A88" s="31">
        <v>92742005</v>
      </c>
      <c r="B88" s="31"/>
      <c r="C88" s="31">
        <v>291952013</v>
      </c>
      <c r="D88" s="32" t="s">
        <v>534</v>
      </c>
      <c r="E88" s="33">
        <v>1058.45</v>
      </c>
      <c r="F88" s="126" t="s">
        <v>52</v>
      </c>
      <c r="G88" s="32" t="s">
        <v>51</v>
      </c>
    </row>
    <row r="89" spans="1:7" ht="12.75" x14ac:dyDescent="0.2">
      <c r="A89" s="31">
        <v>92902005</v>
      </c>
      <c r="B89" s="31"/>
      <c r="C89" s="31">
        <v>292722013</v>
      </c>
      <c r="D89" s="32" t="s">
        <v>536</v>
      </c>
      <c r="E89" s="33">
        <v>3246.56</v>
      </c>
      <c r="F89" s="126" t="s">
        <v>52</v>
      </c>
      <c r="G89" s="32" t="s">
        <v>51</v>
      </c>
    </row>
    <row r="90" spans="1:7" ht="12.75" x14ac:dyDescent="0.2">
      <c r="A90" s="31">
        <v>92902005</v>
      </c>
      <c r="B90" s="31"/>
      <c r="C90" s="31">
        <v>292692013</v>
      </c>
      <c r="D90" s="32" t="s">
        <v>537</v>
      </c>
      <c r="E90" s="33">
        <v>1553.44</v>
      </c>
      <c r="F90" s="126" t="s">
        <v>52</v>
      </c>
      <c r="G90" s="32" t="s">
        <v>51</v>
      </c>
    </row>
    <row r="91" spans="1:7" ht="12.75" x14ac:dyDescent="0.2">
      <c r="A91" s="31">
        <v>92902005</v>
      </c>
      <c r="B91" s="31"/>
      <c r="C91" s="31">
        <v>292662013</v>
      </c>
      <c r="D91" s="32" t="s">
        <v>539</v>
      </c>
      <c r="E91" s="33">
        <v>7033.56</v>
      </c>
      <c r="F91" s="126" t="s">
        <v>52</v>
      </c>
      <c r="G91" s="32" t="s">
        <v>51</v>
      </c>
    </row>
    <row r="92" spans="1:7" ht="12.75" x14ac:dyDescent="0.2">
      <c r="A92" s="31">
        <v>92902005</v>
      </c>
      <c r="B92" s="31"/>
      <c r="C92" s="31">
        <v>292572013</v>
      </c>
      <c r="D92" s="32" t="s">
        <v>540</v>
      </c>
      <c r="E92" s="33">
        <v>4012.27</v>
      </c>
      <c r="F92" s="126" t="s">
        <v>52</v>
      </c>
      <c r="G92" s="32" t="s">
        <v>51</v>
      </c>
    </row>
    <row r="93" spans="1:7" ht="12.75" x14ac:dyDescent="0.2">
      <c r="A93" s="31">
        <v>92902005</v>
      </c>
      <c r="B93" s="31"/>
      <c r="C93" s="31">
        <v>292532013</v>
      </c>
      <c r="D93" s="32" t="s">
        <v>541</v>
      </c>
      <c r="E93" s="33">
        <v>943.71</v>
      </c>
      <c r="F93" s="126" t="s">
        <v>52</v>
      </c>
      <c r="G93" s="32" t="s">
        <v>51</v>
      </c>
    </row>
    <row r="94" spans="1:7" ht="12.75" x14ac:dyDescent="0.2">
      <c r="A94" s="31">
        <v>92902005</v>
      </c>
      <c r="B94" s="31"/>
      <c r="C94" s="31">
        <v>292502013</v>
      </c>
      <c r="D94" s="32" t="s">
        <v>542</v>
      </c>
      <c r="E94" s="33">
        <v>923.14</v>
      </c>
      <c r="F94" s="126" t="s">
        <v>52</v>
      </c>
      <c r="G94" s="32" t="s">
        <v>51</v>
      </c>
    </row>
    <row r="95" spans="1:7" ht="12.75" x14ac:dyDescent="0.2">
      <c r="A95" s="31">
        <v>92902005</v>
      </c>
      <c r="B95" s="31"/>
      <c r="C95" s="31">
        <v>292472013</v>
      </c>
      <c r="D95" s="32" t="s">
        <v>543</v>
      </c>
      <c r="E95" s="33">
        <v>1976.05</v>
      </c>
      <c r="F95" s="126" t="s">
        <v>52</v>
      </c>
      <c r="G95" s="32" t="s">
        <v>51</v>
      </c>
    </row>
    <row r="96" spans="1:7" ht="12.75" x14ac:dyDescent="0.2">
      <c r="A96" s="31">
        <v>92902005</v>
      </c>
      <c r="B96" s="31"/>
      <c r="C96" s="31">
        <v>292412013</v>
      </c>
      <c r="D96" s="32" t="s">
        <v>544</v>
      </c>
      <c r="E96" s="33">
        <v>3968.39</v>
      </c>
      <c r="F96" s="126" t="s">
        <v>52</v>
      </c>
      <c r="G96" s="32" t="s">
        <v>51</v>
      </c>
    </row>
    <row r="97" spans="1:7" ht="12.75" x14ac:dyDescent="0.2">
      <c r="A97" s="31">
        <v>92912005</v>
      </c>
      <c r="B97" s="31"/>
      <c r="C97" s="31">
        <v>270112011</v>
      </c>
      <c r="D97" s="32" t="s">
        <v>545</v>
      </c>
      <c r="E97" s="33">
        <v>5629.29</v>
      </c>
      <c r="F97" s="126" t="s">
        <v>52</v>
      </c>
      <c r="G97" s="126"/>
    </row>
    <row r="98" spans="1:7" ht="12.75" x14ac:dyDescent="0.2">
      <c r="A98" s="31">
        <v>104702009</v>
      </c>
      <c r="B98" s="31"/>
      <c r="C98" s="31">
        <v>367262012</v>
      </c>
      <c r="D98" s="32" t="s">
        <v>546</v>
      </c>
      <c r="E98" s="33">
        <v>1371.86</v>
      </c>
      <c r="F98" s="126" t="s">
        <v>52</v>
      </c>
      <c r="G98" s="126"/>
    </row>
    <row r="99" spans="1:7" ht="12.75" x14ac:dyDescent="0.2">
      <c r="A99" s="31">
        <v>104702009</v>
      </c>
      <c r="B99" s="31"/>
      <c r="C99" s="31">
        <v>367062012</v>
      </c>
      <c r="D99" s="32" t="s">
        <v>548</v>
      </c>
      <c r="E99" s="33">
        <v>9754.27</v>
      </c>
      <c r="F99" s="126" t="s">
        <v>52</v>
      </c>
      <c r="G99" s="126"/>
    </row>
    <row r="100" spans="1:7" ht="12.75" x14ac:dyDescent="0.2">
      <c r="A100" s="31">
        <v>104702009</v>
      </c>
      <c r="B100" s="31"/>
      <c r="C100" s="31">
        <v>367112012</v>
      </c>
      <c r="D100" s="32" t="s">
        <v>549</v>
      </c>
      <c r="E100" s="33">
        <v>2679.92</v>
      </c>
      <c r="F100" s="126" t="s">
        <v>52</v>
      </c>
      <c r="G100" s="126"/>
    </row>
    <row r="101" spans="1:7" ht="12.75" x14ac:dyDescent="0.2">
      <c r="A101" s="31">
        <v>104702009</v>
      </c>
      <c r="B101" s="31"/>
      <c r="C101" s="31">
        <v>367232012</v>
      </c>
      <c r="D101" s="32" t="s">
        <v>550</v>
      </c>
      <c r="E101" s="33">
        <v>4289.95</v>
      </c>
      <c r="F101" s="126" t="s">
        <v>52</v>
      </c>
      <c r="G101" s="126"/>
    </row>
    <row r="102" spans="1:7" ht="12.75" x14ac:dyDescent="0.2">
      <c r="A102" s="31">
        <v>104702009</v>
      </c>
      <c r="B102" s="31"/>
      <c r="C102" s="31">
        <v>367242012</v>
      </c>
      <c r="D102" s="32" t="s">
        <v>551</v>
      </c>
      <c r="E102" s="33">
        <v>10228.4</v>
      </c>
      <c r="F102" s="126" t="s">
        <v>52</v>
      </c>
      <c r="G102" s="126"/>
    </row>
    <row r="103" spans="1:7" ht="12.75" x14ac:dyDescent="0.2">
      <c r="A103" s="31">
        <v>119992005</v>
      </c>
      <c r="B103" s="31"/>
      <c r="C103" s="31">
        <v>280382013</v>
      </c>
      <c r="D103" s="32" t="s">
        <v>552</v>
      </c>
      <c r="E103" s="33">
        <v>2124.59</v>
      </c>
      <c r="F103" s="126" t="s">
        <v>52</v>
      </c>
      <c r="G103" s="126"/>
    </row>
    <row r="104" spans="1:7" ht="12.75" x14ac:dyDescent="0.2">
      <c r="A104" s="31">
        <v>119992005</v>
      </c>
      <c r="B104" s="31"/>
      <c r="C104" s="31">
        <v>280272013</v>
      </c>
      <c r="D104" s="32" t="s">
        <v>553</v>
      </c>
      <c r="E104" s="33">
        <v>2625.43</v>
      </c>
      <c r="F104" s="126" t="s">
        <v>52</v>
      </c>
      <c r="G104" s="126"/>
    </row>
    <row r="105" spans="1:7" ht="12.75" x14ac:dyDescent="0.2">
      <c r="A105" s="31">
        <v>119992005</v>
      </c>
      <c r="B105" s="31"/>
      <c r="C105" s="31">
        <v>280302013</v>
      </c>
      <c r="D105" s="32" t="s">
        <v>554</v>
      </c>
      <c r="E105" s="33">
        <v>3629.52</v>
      </c>
      <c r="F105" s="126" t="s">
        <v>52</v>
      </c>
      <c r="G105" s="32" t="s">
        <v>51</v>
      </c>
    </row>
    <row r="106" spans="1:7" ht="12.75" x14ac:dyDescent="0.2">
      <c r="A106" s="31">
        <v>119992005</v>
      </c>
      <c r="B106" s="31"/>
      <c r="C106" s="31">
        <v>280332013</v>
      </c>
      <c r="D106" s="32" t="s">
        <v>556</v>
      </c>
      <c r="E106" s="33">
        <v>3300</v>
      </c>
      <c r="F106" s="126" t="s">
        <v>52</v>
      </c>
      <c r="G106" s="32" t="s">
        <v>51</v>
      </c>
    </row>
    <row r="107" spans="1:7" ht="12.75" x14ac:dyDescent="0.2">
      <c r="A107" s="31">
        <v>119992005</v>
      </c>
      <c r="B107" s="31"/>
      <c r="C107" s="31">
        <v>280342013</v>
      </c>
      <c r="D107" s="32" t="s">
        <v>557</v>
      </c>
      <c r="E107" s="33">
        <v>733.39</v>
      </c>
      <c r="F107" s="126" t="s">
        <v>52</v>
      </c>
      <c r="G107" s="32" t="s">
        <v>51</v>
      </c>
    </row>
    <row r="108" spans="1:7" ht="12.75" x14ac:dyDescent="0.2">
      <c r="A108" s="31">
        <v>119992005</v>
      </c>
      <c r="B108" s="31"/>
      <c r="C108" s="31">
        <v>280372013</v>
      </c>
      <c r="D108" s="32" t="s">
        <v>559</v>
      </c>
      <c r="E108" s="54">
        <v>4919.5</v>
      </c>
      <c r="F108" s="126" t="s">
        <v>52</v>
      </c>
      <c r="G108" s="32" t="s">
        <v>51</v>
      </c>
    </row>
    <row r="109" spans="1:7" ht="12.75" x14ac:dyDescent="0.2">
      <c r="A109" s="31">
        <v>132182000</v>
      </c>
      <c r="B109" s="31"/>
      <c r="C109" s="31">
        <v>285012013</v>
      </c>
      <c r="D109" s="32" t="s">
        <v>35</v>
      </c>
      <c r="E109" s="33">
        <v>10291.84</v>
      </c>
      <c r="F109" s="126" t="s">
        <v>386</v>
      </c>
      <c r="G109" s="32" t="s">
        <v>51</v>
      </c>
    </row>
    <row r="110" spans="1:7" ht="12.75" x14ac:dyDescent="0.2">
      <c r="A110" s="31">
        <v>132182000</v>
      </c>
      <c r="B110" s="31"/>
      <c r="C110" s="31">
        <v>285042013</v>
      </c>
      <c r="D110" s="32" t="s">
        <v>43</v>
      </c>
      <c r="E110" s="33">
        <v>9284.06</v>
      </c>
      <c r="F110" s="126" t="s">
        <v>52</v>
      </c>
      <c r="G110" s="32" t="s">
        <v>51</v>
      </c>
    </row>
    <row r="111" spans="1:7" ht="12.75" x14ac:dyDescent="0.2">
      <c r="A111" s="31">
        <v>133542005</v>
      </c>
      <c r="B111" s="31"/>
      <c r="C111" s="31">
        <v>292602013</v>
      </c>
      <c r="D111" s="32" t="s">
        <v>561</v>
      </c>
      <c r="E111" s="33">
        <v>4012.27</v>
      </c>
      <c r="F111" s="126" t="s">
        <v>52</v>
      </c>
      <c r="G111" s="32" t="s">
        <v>51</v>
      </c>
    </row>
    <row r="112" spans="1:7" ht="12.75" x14ac:dyDescent="0.2">
      <c r="A112" s="31">
        <v>133542005</v>
      </c>
      <c r="B112" s="31"/>
      <c r="C112" s="31">
        <v>292622013</v>
      </c>
      <c r="D112" s="32" t="s">
        <v>562</v>
      </c>
      <c r="E112" s="33">
        <v>2066.06</v>
      </c>
      <c r="F112" s="126" t="s">
        <v>52</v>
      </c>
      <c r="G112" s="32" t="s">
        <v>51</v>
      </c>
    </row>
    <row r="113" spans="1:7" ht="12.75" x14ac:dyDescent="0.2">
      <c r="A113" s="31">
        <v>133542005</v>
      </c>
      <c r="B113" s="31"/>
      <c r="C113" s="31">
        <v>292682013</v>
      </c>
      <c r="D113" s="32" t="s">
        <v>563</v>
      </c>
      <c r="E113" s="33">
        <v>2819.91</v>
      </c>
      <c r="F113" s="126" t="s">
        <v>52</v>
      </c>
      <c r="G113" s="32" t="s">
        <v>51</v>
      </c>
    </row>
    <row r="114" spans="1:7" ht="12.75" x14ac:dyDescent="0.2">
      <c r="A114" s="31">
        <v>133542005</v>
      </c>
      <c r="B114" s="31"/>
      <c r="C114" s="31">
        <v>292702013</v>
      </c>
      <c r="D114" s="32" t="s">
        <v>565</v>
      </c>
      <c r="E114" s="33">
        <v>7661.39</v>
      </c>
      <c r="F114" s="126" t="s">
        <v>52</v>
      </c>
      <c r="G114" s="32" t="s">
        <v>51</v>
      </c>
    </row>
    <row r="115" spans="1:7" ht="12.75" x14ac:dyDescent="0.2">
      <c r="A115" s="31">
        <v>133542005</v>
      </c>
      <c r="B115" s="31"/>
      <c r="C115" s="31">
        <v>292712013</v>
      </c>
      <c r="D115" s="32" t="s">
        <v>566</v>
      </c>
      <c r="E115" s="33">
        <v>2335.81</v>
      </c>
      <c r="F115" s="126" t="s">
        <v>52</v>
      </c>
      <c r="G115" s="32" t="s">
        <v>51</v>
      </c>
    </row>
    <row r="116" spans="1:7" ht="12.75" x14ac:dyDescent="0.2">
      <c r="A116" s="31">
        <v>133542005</v>
      </c>
      <c r="B116" s="31"/>
      <c r="C116" s="31">
        <v>292732013</v>
      </c>
      <c r="D116" s="32" t="s">
        <v>568</v>
      </c>
      <c r="E116" s="33">
        <v>6711.31</v>
      </c>
      <c r="F116" s="126" t="s">
        <v>52</v>
      </c>
      <c r="G116" s="32" t="s">
        <v>51</v>
      </c>
    </row>
    <row r="117" spans="1:7" ht="12.75" x14ac:dyDescent="0.2">
      <c r="A117" s="31">
        <v>133542005</v>
      </c>
      <c r="B117" s="31"/>
      <c r="C117" s="31">
        <v>292742013</v>
      </c>
      <c r="D117" s="32" t="s">
        <v>569</v>
      </c>
      <c r="E117" s="33">
        <v>967.73</v>
      </c>
      <c r="F117" s="126" t="s">
        <v>52</v>
      </c>
      <c r="G117" s="32" t="s">
        <v>51</v>
      </c>
    </row>
    <row r="118" spans="1:7" ht="12.75" x14ac:dyDescent="0.2">
      <c r="A118" s="31">
        <v>136082002</v>
      </c>
      <c r="B118" s="31"/>
      <c r="C118" s="31">
        <v>257222013</v>
      </c>
      <c r="D118" s="32" t="s">
        <v>570</v>
      </c>
      <c r="E118" s="33">
        <v>8806.9500000000007</v>
      </c>
      <c r="F118" s="126" t="s">
        <v>52</v>
      </c>
      <c r="G118" s="32" t="s">
        <v>51</v>
      </c>
    </row>
    <row r="119" spans="1:7" ht="12.75" x14ac:dyDescent="0.2">
      <c r="A119" s="31">
        <v>136192002</v>
      </c>
      <c r="B119" s="31"/>
      <c r="C119" s="31">
        <v>300312011</v>
      </c>
      <c r="D119" s="32" t="s">
        <v>400</v>
      </c>
      <c r="E119" s="33">
        <v>7053.61</v>
      </c>
      <c r="F119" s="126" t="s">
        <v>52</v>
      </c>
      <c r="G119" s="126"/>
    </row>
    <row r="120" spans="1:7" ht="12.75" x14ac:dyDescent="0.2">
      <c r="A120" s="31">
        <v>138652002</v>
      </c>
      <c r="B120" s="31"/>
      <c r="C120" s="31">
        <v>200642012</v>
      </c>
      <c r="D120" s="32" t="s">
        <v>400</v>
      </c>
      <c r="E120" s="33">
        <v>9449.86</v>
      </c>
      <c r="F120" s="126" t="s">
        <v>52</v>
      </c>
      <c r="G120" s="126"/>
    </row>
    <row r="121" spans="1:7" ht="12.75" x14ac:dyDescent="0.2">
      <c r="A121" s="31">
        <v>142962002</v>
      </c>
      <c r="B121" s="31"/>
      <c r="C121" s="31">
        <v>171272013</v>
      </c>
      <c r="D121" s="32" t="s">
        <v>573</v>
      </c>
      <c r="E121" s="33">
        <v>5140.99</v>
      </c>
      <c r="F121" s="126" t="s">
        <v>41</v>
      </c>
      <c r="G121" s="32" t="s">
        <v>51</v>
      </c>
    </row>
    <row r="122" spans="1:7" ht="12.75" x14ac:dyDescent="0.2">
      <c r="A122" s="31">
        <v>150782002</v>
      </c>
      <c r="B122" s="31"/>
      <c r="C122" s="31">
        <v>305242012</v>
      </c>
      <c r="D122" s="32" t="s">
        <v>575</v>
      </c>
      <c r="E122" s="33">
        <v>6060.87</v>
      </c>
      <c r="F122" s="126" t="s">
        <v>52</v>
      </c>
      <c r="G122" s="32" t="s">
        <v>51</v>
      </c>
    </row>
    <row r="123" spans="1:7" ht="12.75" x14ac:dyDescent="0.2">
      <c r="A123" s="31">
        <v>162312002</v>
      </c>
      <c r="B123" s="31"/>
      <c r="C123" s="31">
        <v>21452013</v>
      </c>
      <c r="D123" s="32" t="s">
        <v>576</v>
      </c>
      <c r="E123" s="33">
        <v>2344.15</v>
      </c>
      <c r="F123" s="126" t="s">
        <v>52</v>
      </c>
      <c r="G123" s="126"/>
    </row>
    <row r="124" spans="1:7" ht="12.75" x14ac:dyDescent="0.2">
      <c r="A124" s="31">
        <v>200392008</v>
      </c>
      <c r="B124" s="31"/>
      <c r="C124" s="31">
        <v>209132012</v>
      </c>
      <c r="D124" s="32" t="s">
        <v>577</v>
      </c>
      <c r="E124" s="33">
        <v>6329.67</v>
      </c>
      <c r="F124" s="126" t="s">
        <v>52</v>
      </c>
      <c r="G124" s="126"/>
    </row>
    <row r="125" spans="1:7" ht="12.75" x14ac:dyDescent="0.2">
      <c r="A125" s="31">
        <v>200392008</v>
      </c>
      <c r="B125" s="31"/>
      <c r="C125" s="31">
        <v>209092012</v>
      </c>
      <c r="D125" s="32" t="s">
        <v>578</v>
      </c>
      <c r="E125" s="33">
        <v>5807.62</v>
      </c>
      <c r="F125" s="126" t="s">
        <v>52</v>
      </c>
      <c r="G125" s="126"/>
    </row>
    <row r="126" spans="1:7" ht="12.75" x14ac:dyDescent="0.2">
      <c r="A126" s="31">
        <v>200392008</v>
      </c>
      <c r="B126" s="31"/>
      <c r="C126" s="31">
        <v>209112012</v>
      </c>
      <c r="D126" s="32" t="s">
        <v>580</v>
      </c>
      <c r="E126" s="33">
        <v>10141.370000000001</v>
      </c>
      <c r="F126" s="126" t="s">
        <v>52</v>
      </c>
      <c r="G126" s="126"/>
    </row>
    <row r="127" spans="1:7" ht="12.75" x14ac:dyDescent="0.2">
      <c r="A127" s="31">
        <v>201042005</v>
      </c>
      <c r="B127" s="181"/>
      <c r="C127" s="31">
        <v>280972013</v>
      </c>
      <c r="D127" s="32" t="s">
        <v>581</v>
      </c>
      <c r="E127" s="33">
        <v>2392.34</v>
      </c>
      <c r="F127" s="53" t="s">
        <v>52</v>
      </c>
      <c r="G127" s="31" t="s">
        <v>51</v>
      </c>
    </row>
    <row r="128" spans="1:7" ht="12.75" x14ac:dyDescent="0.2">
      <c r="A128" s="31">
        <v>211602002</v>
      </c>
      <c r="B128" s="31"/>
      <c r="C128" s="31">
        <v>286262013</v>
      </c>
      <c r="D128" s="32" t="s">
        <v>582</v>
      </c>
      <c r="E128" s="33">
        <v>9093.26</v>
      </c>
      <c r="F128" s="126" t="s">
        <v>52</v>
      </c>
      <c r="G128" s="32" t="s">
        <v>51</v>
      </c>
    </row>
    <row r="129" spans="1:7" ht="12.75" x14ac:dyDescent="0.2">
      <c r="A129" s="31">
        <v>211602002</v>
      </c>
      <c r="B129" s="31"/>
      <c r="C129" s="31">
        <v>285202013</v>
      </c>
      <c r="D129" s="32" t="s">
        <v>584</v>
      </c>
      <c r="E129" s="33">
        <v>6985.56</v>
      </c>
      <c r="F129" s="126" t="s">
        <v>52</v>
      </c>
      <c r="G129" s="32" t="s">
        <v>51</v>
      </c>
    </row>
    <row r="130" spans="1:7" ht="12.75" x14ac:dyDescent="0.2">
      <c r="A130" s="31">
        <v>217112008</v>
      </c>
      <c r="B130" s="31"/>
      <c r="C130" s="31">
        <v>292822013</v>
      </c>
      <c r="D130" s="32" t="s">
        <v>585</v>
      </c>
      <c r="E130" s="33">
        <v>1723.14</v>
      </c>
      <c r="F130" s="126" t="s">
        <v>52</v>
      </c>
      <c r="G130" s="32" t="s">
        <v>51</v>
      </c>
    </row>
    <row r="131" spans="1:7" ht="12.75" x14ac:dyDescent="0.2">
      <c r="A131" s="31">
        <v>217112008</v>
      </c>
      <c r="B131" s="31"/>
      <c r="C131" s="31">
        <v>292832013</v>
      </c>
      <c r="D131" s="32" t="s">
        <v>586</v>
      </c>
      <c r="E131" s="33">
        <v>1183.45</v>
      </c>
      <c r="F131" s="126" t="s">
        <v>52</v>
      </c>
      <c r="G131" s="32" t="s">
        <v>51</v>
      </c>
    </row>
    <row r="132" spans="1:7" ht="12.75" x14ac:dyDescent="0.2">
      <c r="A132" s="31">
        <v>217112008</v>
      </c>
      <c r="B132" s="31"/>
      <c r="C132" s="31">
        <v>292982013</v>
      </c>
      <c r="D132" s="32" t="s">
        <v>588</v>
      </c>
      <c r="E132" s="33">
        <v>1581.04</v>
      </c>
      <c r="F132" s="126" t="s">
        <v>52</v>
      </c>
      <c r="G132" s="32" t="s">
        <v>51</v>
      </c>
    </row>
    <row r="133" spans="1:7" ht="12.75" x14ac:dyDescent="0.2">
      <c r="A133" s="31">
        <v>217112008</v>
      </c>
      <c r="B133" s="31"/>
      <c r="C133" s="31">
        <v>292952013</v>
      </c>
      <c r="D133" s="32" t="s">
        <v>589</v>
      </c>
      <c r="E133" s="33">
        <v>487.66</v>
      </c>
      <c r="F133" s="126" t="s">
        <v>52</v>
      </c>
      <c r="G133" s="32" t="s">
        <v>51</v>
      </c>
    </row>
    <row r="134" spans="1:7" ht="12.75" x14ac:dyDescent="0.2">
      <c r="A134" s="31">
        <v>217112008</v>
      </c>
      <c r="B134" s="31"/>
      <c r="C134" s="31">
        <v>292932013</v>
      </c>
      <c r="D134" s="32" t="s">
        <v>590</v>
      </c>
      <c r="E134" s="33">
        <v>8737.94</v>
      </c>
      <c r="F134" s="126" t="s">
        <v>52</v>
      </c>
      <c r="G134" s="32" t="s">
        <v>51</v>
      </c>
    </row>
    <row r="135" spans="1:7" ht="12.75" x14ac:dyDescent="0.2">
      <c r="A135" s="31">
        <v>217112008</v>
      </c>
      <c r="B135" s="31"/>
      <c r="C135" s="31">
        <v>292922013</v>
      </c>
      <c r="D135" s="32" t="s">
        <v>592</v>
      </c>
      <c r="E135" s="33">
        <v>620.94000000000005</v>
      </c>
      <c r="F135" s="126" t="s">
        <v>52</v>
      </c>
      <c r="G135" s="32" t="s">
        <v>51</v>
      </c>
    </row>
    <row r="136" spans="1:7" ht="12.75" x14ac:dyDescent="0.2">
      <c r="A136" s="31">
        <v>217112008</v>
      </c>
      <c r="B136" s="31"/>
      <c r="C136" s="31">
        <v>292902013</v>
      </c>
      <c r="D136" s="32" t="s">
        <v>593</v>
      </c>
      <c r="E136" s="33">
        <v>1235.56</v>
      </c>
      <c r="F136" s="126" t="s">
        <v>52</v>
      </c>
      <c r="G136" s="32" t="s">
        <v>51</v>
      </c>
    </row>
    <row r="137" spans="1:7" ht="12.75" x14ac:dyDescent="0.2">
      <c r="A137" s="31">
        <v>217112008</v>
      </c>
      <c r="B137" s="31"/>
      <c r="C137" s="31">
        <v>292882013</v>
      </c>
      <c r="D137" s="32" t="s">
        <v>594</v>
      </c>
      <c r="E137" s="33">
        <v>1324.01</v>
      </c>
      <c r="F137" s="126" t="s">
        <v>52</v>
      </c>
      <c r="G137" s="32" t="s">
        <v>51</v>
      </c>
    </row>
    <row r="138" spans="1:7" ht="12.75" x14ac:dyDescent="0.2">
      <c r="A138" s="31">
        <v>217112008</v>
      </c>
      <c r="B138" s="31"/>
      <c r="C138" s="31">
        <v>292752013</v>
      </c>
      <c r="D138" s="32" t="s">
        <v>596</v>
      </c>
      <c r="E138" s="33">
        <v>1458.08</v>
      </c>
      <c r="F138" s="126" t="s">
        <v>52</v>
      </c>
      <c r="G138" s="32" t="s">
        <v>51</v>
      </c>
    </row>
    <row r="139" spans="1:7" ht="12.75" x14ac:dyDescent="0.2">
      <c r="A139" s="31">
        <v>217112008</v>
      </c>
      <c r="B139" s="31"/>
      <c r="C139" s="31">
        <v>292852013</v>
      </c>
      <c r="D139" s="32" t="s">
        <v>597</v>
      </c>
      <c r="E139" s="33">
        <v>3237.24</v>
      </c>
      <c r="F139" s="126" t="s">
        <v>52</v>
      </c>
      <c r="G139" s="32" t="s">
        <v>51</v>
      </c>
    </row>
    <row r="140" spans="1:7" ht="12.75" x14ac:dyDescent="0.2">
      <c r="A140" s="31">
        <v>217112008</v>
      </c>
      <c r="B140" s="31"/>
      <c r="C140" s="31">
        <v>292812013</v>
      </c>
      <c r="D140" s="32" t="s">
        <v>598</v>
      </c>
      <c r="E140" s="33">
        <v>563.32000000000005</v>
      </c>
      <c r="F140" s="126" t="s">
        <v>52</v>
      </c>
      <c r="G140" s="32" t="s">
        <v>51</v>
      </c>
    </row>
    <row r="141" spans="1:7" ht="12.75" x14ac:dyDescent="0.2">
      <c r="A141" s="31">
        <v>217112008</v>
      </c>
      <c r="B141" s="31"/>
      <c r="C141" s="31">
        <v>292802013</v>
      </c>
      <c r="D141" s="32" t="s">
        <v>599</v>
      </c>
      <c r="E141" s="33">
        <v>614.53</v>
      </c>
      <c r="F141" s="126" t="s">
        <v>52</v>
      </c>
      <c r="G141" s="32" t="s">
        <v>51</v>
      </c>
    </row>
    <row r="142" spans="1:7" ht="12.75" x14ac:dyDescent="0.2">
      <c r="A142" s="31">
        <v>217112008</v>
      </c>
      <c r="B142" s="31"/>
      <c r="C142" s="31">
        <v>292792013</v>
      </c>
      <c r="D142" s="32" t="s">
        <v>601</v>
      </c>
      <c r="E142" s="33">
        <v>560.25</v>
      </c>
      <c r="F142" s="126" t="s">
        <v>52</v>
      </c>
      <c r="G142" s="32" t="s">
        <v>51</v>
      </c>
    </row>
    <row r="143" spans="1:7" ht="12.75" x14ac:dyDescent="0.2">
      <c r="A143" s="31">
        <v>217112008</v>
      </c>
      <c r="B143" s="31"/>
      <c r="C143" s="31">
        <v>292762013</v>
      </c>
      <c r="D143" s="32" t="s">
        <v>602</v>
      </c>
      <c r="E143" s="33">
        <v>619.16999999999996</v>
      </c>
      <c r="F143" s="126" t="s">
        <v>52</v>
      </c>
      <c r="G143" s="32" t="s">
        <v>51</v>
      </c>
    </row>
    <row r="144" spans="1:7" ht="12.75" x14ac:dyDescent="0.2">
      <c r="A144" s="55">
        <v>217112008</v>
      </c>
      <c r="B144" s="31"/>
      <c r="C144" s="55">
        <v>292902013</v>
      </c>
      <c r="D144" s="126" t="s">
        <v>593</v>
      </c>
      <c r="E144" s="54">
        <v>1235.56</v>
      </c>
      <c r="F144" s="126" t="s">
        <v>52</v>
      </c>
      <c r="G144" s="32"/>
    </row>
    <row r="145" spans="1:7" ht="12.75" x14ac:dyDescent="0.2">
      <c r="A145" s="31">
        <v>235042008</v>
      </c>
      <c r="B145" s="31"/>
      <c r="C145" s="31">
        <v>266612013</v>
      </c>
      <c r="D145" s="32" t="s">
        <v>604</v>
      </c>
      <c r="E145" s="33">
        <v>2208.16</v>
      </c>
      <c r="F145" s="126" t="s">
        <v>52</v>
      </c>
      <c r="G145" s="126"/>
    </row>
    <row r="146" spans="1:7" ht="12.75" x14ac:dyDescent="0.2">
      <c r="A146" s="31">
        <v>235042008</v>
      </c>
      <c r="B146" s="31"/>
      <c r="C146" s="31">
        <v>266642013</v>
      </c>
      <c r="D146" s="32" t="s">
        <v>605</v>
      </c>
      <c r="E146" s="33">
        <v>1043.3699999999999</v>
      </c>
      <c r="F146" s="126" t="s">
        <v>52</v>
      </c>
      <c r="G146" s="32" t="s">
        <v>51</v>
      </c>
    </row>
    <row r="147" spans="1:7" ht="12.75" x14ac:dyDescent="0.2">
      <c r="A147" s="31">
        <v>235042008</v>
      </c>
      <c r="B147" s="31"/>
      <c r="C147" s="31">
        <v>266702013</v>
      </c>
      <c r="D147" s="32" t="s">
        <v>607</v>
      </c>
      <c r="E147" s="33">
        <v>1150.8399999999999</v>
      </c>
      <c r="F147" s="126" t="s">
        <v>52</v>
      </c>
      <c r="G147" s="32" t="s">
        <v>51</v>
      </c>
    </row>
    <row r="148" spans="1:7" ht="12.75" x14ac:dyDescent="0.2">
      <c r="A148" s="31">
        <v>235042008</v>
      </c>
      <c r="B148" s="31"/>
      <c r="C148" s="31">
        <v>266672013</v>
      </c>
      <c r="D148" s="32" t="s">
        <v>608</v>
      </c>
      <c r="E148" s="33">
        <v>689.36</v>
      </c>
      <c r="F148" s="126" t="s">
        <v>52</v>
      </c>
      <c r="G148" s="32" t="s">
        <v>51</v>
      </c>
    </row>
    <row r="149" spans="1:7" ht="12.75" x14ac:dyDescent="0.2">
      <c r="A149" s="31">
        <v>235042008</v>
      </c>
      <c r="B149" s="31"/>
      <c r="C149" s="31">
        <v>266592013</v>
      </c>
      <c r="D149" s="32" t="s">
        <v>609</v>
      </c>
      <c r="E149" s="33">
        <v>1043.6099999999999</v>
      </c>
      <c r="F149" s="126" t="s">
        <v>52</v>
      </c>
      <c r="G149" s="32" t="s">
        <v>51</v>
      </c>
    </row>
    <row r="150" spans="1:7" ht="12.75" x14ac:dyDescent="0.2">
      <c r="A150" s="31">
        <v>235042008</v>
      </c>
      <c r="B150" s="31"/>
      <c r="C150" s="31">
        <v>266512013</v>
      </c>
      <c r="D150" s="32" t="s">
        <v>610</v>
      </c>
      <c r="E150" s="33">
        <v>552.69000000000005</v>
      </c>
      <c r="F150" s="126" t="s">
        <v>52</v>
      </c>
      <c r="G150" s="32" t="s">
        <v>51</v>
      </c>
    </row>
    <row r="151" spans="1:7" ht="12.75" x14ac:dyDescent="0.2">
      <c r="A151" s="31">
        <v>235042008</v>
      </c>
      <c r="B151" s="31"/>
      <c r="C151" s="31">
        <v>266412013</v>
      </c>
      <c r="D151" s="32" t="s">
        <v>612</v>
      </c>
      <c r="E151" s="33">
        <v>1804.25</v>
      </c>
      <c r="F151" s="126" t="s">
        <v>52</v>
      </c>
      <c r="G151" s="32" t="s">
        <v>51</v>
      </c>
    </row>
    <row r="152" spans="1:7" ht="12.75" x14ac:dyDescent="0.2">
      <c r="A152" s="31">
        <v>235042008</v>
      </c>
      <c r="B152" s="31"/>
      <c r="C152" s="31">
        <v>266342013</v>
      </c>
      <c r="D152" s="32" t="s">
        <v>613</v>
      </c>
      <c r="E152" s="33">
        <v>2064.9899999999998</v>
      </c>
      <c r="F152" s="126" t="s">
        <v>50</v>
      </c>
      <c r="G152" s="32" t="s">
        <v>51</v>
      </c>
    </row>
    <row r="153" spans="1:7" ht="12.75" x14ac:dyDescent="0.2">
      <c r="A153" s="31">
        <v>235042008</v>
      </c>
      <c r="B153" s="31"/>
      <c r="C153" s="31">
        <v>266322013</v>
      </c>
      <c r="D153" s="32" t="s">
        <v>614</v>
      </c>
      <c r="E153" s="33">
        <v>4095.59</v>
      </c>
      <c r="F153" s="126" t="s">
        <v>52</v>
      </c>
      <c r="G153" s="32" t="s">
        <v>51</v>
      </c>
    </row>
    <row r="154" spans="1:7" ht="12.75" x14ac:dyDescent="0.2">
      <c r="A154" s="31">
        <v>235042008</v>
      </c>
      <c r="B154" s="31"/>
      <c r="C154" s="31">
        <v>266262013</v>
      </c>
      <c r="D154" s="32" t="s">
        <v>615</v>
      </c>
      <c r="E154" s="33">
        <v>2388.34</v>
      </c>
      <c r="F154" s="126" t="s">
        <v>52</v>
      </c>
      <c r="G154" s="32" t="s">
        <v>51</v>
      </c>
    </row>
    <row r="155" spans="1:7" ht="12.75" x14ac:dyDescent="0.2">
      <c r="A155" s="31">
        <v>235042008</v>
      </c>
      <c r="B155" s="31"/>
      <c r="C155" s="31">
        <v>266312013</v>
      </c>
      <c r="D155" s="32" t="s">
        <v>617</v>
      </c>
      <c r="E155" s="33">
        <v>1021.24</v>
      </c>
      <c r="F155" s="126" t="s">
        <v>52</v>
      </c>
      <c r="G155" s="32" t="s">
        <v>51</v>
      </c>
    </row>
    <row r="156" spans="1:7" ht="12.75" x14ac:dyDescent="0.2">
      <c r="A156" s="31">
        <v>235042008</v>
      </c>
      <c r="B156" s="31"/>
      <c r="C156" s="31">
        <v>266462013</v>
      </c>
      <c r="D156" s="32" t="s">
        <v>618</v>
      </c>
      <c r="E156" s="33">
        <v>1760.32</v>
      </c>
      <c r="F156" s="126" t="s">
        <v>52</v>
      </c>
      <c r="G156" s="32" t="s">
        <v>51</v>
      </c>
    </row>
    <row r="157" spans="1:7" ht="12.75" x14ac:dyDescent="0.2">
      <c r="A157" s="52">
        <v>278702009</v>
      </c>
      <c r="B157" s="52" t="s">
        <v>19</v>
      </c>
      <c r="C157" s="52">
        <v>164362012</v>
      </c>
      <c r="D157" s="53" t="s">
        <v>619</v>
      </c>
      <c r="E157" s="54">
        <v>2424.87</v>
      </c>
      <c r="F157" s="53" t="s">
        <v>620</v>
      </c>
      <c r="G157" s="32"/>
    </row>
    <row r="158" spans="1:7" ht="12.75" x14ac:dyDescent="0.2">
      <c r="A158" s="31"/>
      <c r="B158" s="31"/>
      <c r="C158" s="31">
        <v>404122012</v>
      </c>
      <c r="D158" s="32" t="s">
        <v>467</v>
      </c>
      <c r="E158" s="33">
        <v>10516.06</v>
      </c>
      <c r="F158" s="126" t="s">
        <v>52</v>
      </c>
      <c r="G158" s="126"/>
    </row>
    <row r="159" spans="1:7" ht="12.75" x14ac:dyDescent="0.2">
      <c r="A159" s="52">
        <v>235042008</v>
      </c>
      <c r="B159" s="52" t="s">
        <v>9</v>
      </c>
      <c r="C159" s="52">
        <v>266492013</v>
      </c>
      <c r="D159" s="53" t="s">
        <v>622</v>
      </c>
      <c r="E159" s="33"/>
      <c r="F159" s="53" t="s">
        <v>42</v>
      </c>
      <c r="G159" s="53" t="s">
        <v>51</v>
      </c>
    </row>
    <row r="160" spans="1:7" ht="12.75" x14ac:dyDescent="0.2">
      <c r="A160" s="31"/>
      <c r="B160" s="31"/>
      <c r="C160" s="31"/>
      <c r="D160" s="32"/>
      <c r="E160" s="33"/>
      <c r="F160" s="32"/>
      <c r="G160" s="32"/>
    </row>
    <row r="161" spans="1:7" ht="12.75" x14ac:dyDescent="0.2">
      <c r="A161" s="31"/>
      <c r="B161" s="31"/>
      <c r="C161" s="31"/>
      <c r="D161" s="32"/>
      <c r="E161" s="33"/>
      <c r="F161" s="32"/>
      <c r="G161" s="32"/>
    </row>
    <row r="162" spans="1:7" ht="12.75" x14ac:dyDescent="0.2">
      <c r="A162" s="270" t="s">
        <v>44</v>
      </c>
      <c r="B162" s="268"/>
      <c r="C162" s="268"/>
      <c r="D162" s="269"/>
      <c r="E162" s="194">
        <f>SUM(E3:E161)</f>
        <v>612661.48</v>
      </c>
      <c r="F162" s="195"/>
      <c r="G162" s="195"/>
    </row>
  </sheetData>
  <autoFilter ref="A2:G161" xr:uid="{00000000-0009-0000-0000-000007000000}"/>
  <mergeCells count="2">
    <mergeCell ref="A1:E1"/>
    <mergeCell ref="A162:D162"/>
  </mergeCells>
  <dataValidations count="1">
    <dataValidation type="list" allowBlank="1" sqref="F3:F161" xr:uid="{00000000-0002-0000-0700-000000000000}">
      <formula1>"ALVARÁS EXPEDIDOS,ALVARÁS RECEBIDOS,EXPEDIR ALVARÁS,REQUERER SEQUESTRO,AGUARDAR PRAZO RPV,AGUARDAR RETORNO DA CONTADORIA,EXPEDIR RPVS,ALVARÁ PARA CORRIGIR,VERIFICAR SE TODOS OS ALVARÁS FORAM RECEBIDOS,PARA IMPLANTAR,PAGO,ENVIAR PARA CONTADORIA,NA CONTADOR"&amp;"IA"</formula1>
    </dataValidation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.75" customHeight="1" x14ac:dyDescent="0.2"/>
  <cols>
    <col min="1" max="1" width="8.85546875" customWidth="1"/>
    <col min="2" max="2" width="8" customWidth="1"/>
    <col min="3" max="3" width="16.7109375" customWidth="1"/>
    <col min="4" max="4" width="43.5703125" customWidth="1"/>
    <col min="5" max="5" width="14.7109375" customWidth="1"/>
    <col min="6" max="6" width="11.5703125" customWidth="1"/>
    <col min="7" max="7" width="8" customWidth="1"/>
    <col min="8" max="8" width="10.42578125" customWidth="1"/>
    <col min="9" max="9" width="43.5703125" customWidth="1"/>
    <col min="10" max="10" width="7.85546875" customWidth="1"/>
  </cols>
  <sheetData>
    <row r="1" spans="1:10" ht="15.75" customHeight="1" x14ac:dyDescent="0.2">
      <c r="A1" s="267" t="s">
        <v>0</v>
      </c>
      <c r="B1" s="268"/>
      <c r="C1" s="268"/>
      <c r="D1" s="268"/>
      <c r="E1" s="268"/>
      <c r="F1" s="268"/>
      <c r="G1" s="268"/>
      <c r="H1" s="268"/>
      <c r="I1" s="268"/>
      <c r="J1" s="269"/>
    </row>
    <row r="2" spans="1:10" ht="15.75" customHeight="1" x14ac:dyDescent="0.2">
      <c r="A2" s="165" t="s">
        <v>2</v>
      </c>
      <c r="B2" s="167" t="s">
        <v>1</v>
      </c>
      <c r="C2" s="167" t="s">
        <v>3</v>
      </c>
      <c r="D2" s="165" t="s">
        <v>5</v>
      </c>
      <c r="E2" s="165" t="s">
        <v>6</v>
      </c>
      <c r="F2" s="197" t="s">
        <v>7</v>
      </c>
      <c r="G2" s="198" t="s">
        <v>8</v>
      </c>
      <c r="H2" s="197" t="s">
        <v>10</v>
      </c>
      <c r="I2" s="167" t="s">
        <v>11</v>
      </c>
      <c r="J2" s="165" t="s">
        <v>12</v>
      </c>
    </row>
    <row r="3" spans="1:10" ht="15.75" customHeight="1" x14ac:dyDescent="0.2">
      <c r="A3" s="80">
        <v>215542010</v>
      </c>
      <c r="B3" s="80" t="s">
        <v>642</v>
      </c>
      <c r="C3" s="82" t="s">
        <v>644</v>
      </c>
      <c r="D3" s="82" t="s">
        <v>645</v>
      </c>
      <c r="E3" s="134">
        <v>1837.35</v>
      </c>
      <c r="F3" s="29">
        <f t="shared" ref="F3:F113" si="0">IF(G3=0,E3*0.1,IF(OR(C3="Descompressão",C3="MS 207002004"),(E3-H3)*0.05,(E3-H3)*0.1))</f>
        <v>183.73500000000001</v>
      </c>
      <c r="G3" s="90"/>
      <c r="H3" s="29">
        <f t="shared" ref="H3:H113" si="1">IF(G3=100%,E3,IF(G3=0,0,(E3-(E3/(1+G3)))))</f>
        <v>0</v>
      </c>
      <c r="I3" s="82" t="s">
        <v>50</v>
      </c>
      <c r="J3" s="80" t="s">
        <v>51</v>
      </c>
    </row>
    <row r="4" spans="1:10" ht="15.75" customHeight="1" x14ac:dyDescent="0.2">
      <c r="A4" s="80" t="s">
        <v>652</v>
      </c>
      <c r="B4" s="80" t="s">
        <v>642</v>
      </c>
      <c r="C4" s="82" t="s">
        <v>644</v>
      </c>
      <c r="D4" s="82" t="s">
        <v>653</v>
      </c>
      <c r="E4" s="134">
        <v>140522.60999999999</v>
      </c>
      <c r="F4" s="29">
        <f t="shared" si="0"/>
        <v>12774.782727272726</v>
      </c>
      <c r="G4" s="90">
        <v>0.1</v>
      </c>
      <c r="H4" s="29">
        <f t="shared" si="1"/>
        <v>12774.78272727273</v>
      </c>
      <c r="I4" s="82" t="s">
        <v>50</v>
      </c>
      <c r="J4" s="80" t="s">
        <v>51</v>
      </c>
    </row>
    <row r="5" spans="1:10" ht="15.75" customHeight="1" x14ac:dyDescent="0.2">
      <c r="A5" s="26"/>
      <c r="B5" s="26"/>
      <c r="C5" s="27"/>
      <c r="D5" s="27"/>
      <c r="E5" s="28"/>
      <c r="F5" s="29">
        <f t="shared" si="0"/>
        <v>0</v>
      </c>
      <c r="G5" s="30"/>
      <c r="H5" s="29">
        <f t="shared" si="1"/>
        <v>0</v>
      </c>
      <c r="I5" s="27"/>
      <c r="J5" s="26"/>
    </row>
    <row r="6" spans="1:10" ht="15.75" customHeight="1" x14ac:dyDescent="0.2">
      <c r="A6" s="26"/>
      <c r="B6" s="26"/>
      <c r="C6" s="27"/>
      <c r="D6" s="27"/>
      <c r="E6" s="28"/>
      <c r="F6" s="29">
        <f t="shared" si="0"/>
        <v>0</v>
      </c>
      <c r="G6" s="30"/>
      <c r="H6" s="29">
        <f t="shared" si="1"/>
        <v>0</v>
      </c>
      <c r="I6" s="27"/>
      <c r="J6" s="26"/>
    </row>
    <row r="7" spans="1:10" ht="15.75" customHeight="1" x14ac:dyDescent="0.2">
      <c r="A7" s="26"/>
      <c r="B7" s="26"/>
      <c r="C7" s="27"/>
      <c r="D7" s="27"/>
      <c r="E7" s="28"/>
      <c r="F7" s="29">
        <f t="shared" si="0"/>
        <v>0</v>
      </c>
      <c r="G7" s="30"/>
      <c r="H7" s="29">
        <f t="shared" si="1"/>
        <v>0</v>
      </c>
      <c r="I7" s="27"/>
      <c r="J7" s="26"/>
    </row>
    <row r="8" spans="1:10" ht="15.75" customHeight="1" x14ac:dyDescent="0.2">
      <c r="A8" s="26"/>
      <c r="B8" s="26"/>
      <c r="C8" s="27"/>
      <c r="D8" s="27"/>
      <c r="E8" s="28"/>
      <c r="F8" s="29">
        <f t="shared" si="0"/>
        <v>0</v>
      </c>
      <c r="G8" s="30"/>
      <c r="H8" s="29">
        <f t="shared" si="1"/>
        <v>0</v>
      </c>
      <c r="I8" s="27"/>
      <c r="J8" s="26"/>
    </row>
    <row r="9" spans="1:10" ht="15.75" customHeight="1" x14ac:dyDescent="0.2">
      <c r="A9" s="26"/>
      <c r="B9" s="26"/>
      <c r="C9" s="27"/>
      <c r="D9" s="27"/>
      <c r="E9" s="28"/>
      <c r="F9" s="29">
        <f t="shared" si="0"/>
        <v>0</v>
      </c>
      <c r="G9" s="30"/>
      <c r="H9" s="29">
        <f t="shared" si="1"/>
        <v>0</v>
      </c>
      <c r="I9" s="27"/>
      <c r="J9" s="26"/>
    </row>
    <row r="10" spans="1:10" ht="15.75" customHeight="1" x14ac:dyDescent="0.2">
      <c r="A10" s="26"/>
      <c r="B10" s="26"/>
      <c r="C10" s="27"/>
      <c r="D10" s="27"/>
      <c r="E10" s="28"/>
      <c r="F10" s="29">
        <f t="shared" si="0"/>
        <v>0</v>
      </c>
      <c r="G10" s="30"/>
      <c r="H10" s="29">
        <f t="shared" si="1"/>
        <v>0</v>
      </c>
      <c r="I10" s="27"/>
      <c r="J10" s="26"/>
    </row>
    <row r="11" spans="1:10" ht="15.75" customHeight="1" x14ac:dyDescent="0.2">
      <c r="A11" s="26"/>
      <c r="B11" s="26"/>
      <c r="C11" s="27"/>
      <c r="D11" s="27"/>
      <c r="E11" s="28"/>
      <c r="F11" s="29">
        <f t="shared" si="0"/>
        <v>0</v>
      </c>
      <c r="G11" s="30"/>
      <c r="H11" s="29">
        <f t="shared" si="1"/>
        <v>0</v>
      </c>
      <c r="I11" s="27"/>
      <c r="J11" s="26"/>
    </row>
    <row r="12" spans="1:10" ht="15.75" customHeight="1" x14ac:dyDescent="0.2">
      <c r="A12" s="26"/>
      <c r="B12" s="26"/>
      <c r="C12" s="27"/>
      <c r="D12" s="27"/>
      <c r="E12" s="28"/>
      <c r="F12" s="29">
        <f t="shared" si="0"/>
        <v>0</v>
      </c>
      <c r="G12" s="30"/>
      <c r="H12" s="29">
        <f t="shared" si="1"/>
        <v>0</v>
      </c>
      <c r="I12" s="27"/>
      <c r="J12" s="26"/>
    </row>
    <row r="13" spans="1:10" ht="15.75" customHeight="1" x14ac:dyDescent="0.2">
      <c r="A13" s="26"/>
      <c r="B13" s="26"/>
      <c r="C13" s="27"/>
      <c r="D13" s="27"/>
      <c r="E13" s="28"/>
      <c r="F13" s="29">
        <f t="shared" si="0"/>
        <v>0</v>
      </c>
      <c r="G13" s="30"/>
      <c r="H13" s="29">
        <f t="shared" si="1"/>
        <v>0</v>
      </c>
      <c r="I13" s="27"/>
      <c r="J13" s="26"/>
    </row>
    <row r="14" spans="1:10" ht="15.75" customHeight="1" x14ac:dyDescent="0.2">
      <c r="A14" s="26"/>
      <c r="B14" s="26"/>
      <c r="C14" s="27"/>
      <c r="D14" s="27"/>
      <c r="E14" s="28"/>
      <c r="F14" s="29">
        <f t="shared" si="0"/>
        <v>0</v>
      </c>
      <c r="G14" s="30"/>
      <c r="H14" s="29">
        <f t="shared" si="1"/>
        <v>0</v>
      </c>
      <c r="I14" s="27"/>
      <c r="J14" s="26"/>
    </row>
    <row r="15" spans="1:10" ht="15.75" customHeight="1" x14ac:dyDescent="0.2">
      <c r="A15" s="26"/>
      <c r="B15" s="26"/>
      <c r="C15" s="27"/>
      <c r="D15" s="27"/>
      <c r="E15" s="28"/>
      <c r="F15" s="29">
        <f t="shared" si="0"/>
        <v>0</v>
      </c>
      <c r="G15" s="30"/>
      <c r="H15" s="29">
        <f t="shared" si="1"/>
        <v>0</v>
      </c>
      <c r="I15" s="27"/>
      <c r="J15" s="26"/>
    </row>
    <row r="16" spans="1:10" ht="15.75" customHeight="1" x14ac:dyDescent="0.2">
      <c r="A16" s="26"/>
      <c r="B16" s="26"/>
      <c r="C16" s="27"/>
      <c r="D16" s="27"/>
      <c r="E16" s="28"/>
      <c r="F16" s="29">
        <f t="shared" si="0"/>
        <v>0</v>
      </c>
      <c r="G16" s="30"/>
      <c r="H16" s="29">
        <f t="shared" si="1"/>
        <v>0</v>
      </c>
      <c r="I16" s="27"/>
      <c r="J16" s="26"/>
    </row>
    <row r="17" spans="1:10" ht="15.75" customHeight="1" x14ac:dyDescent="0.2">
      <c r="A17" s="26"/>
      <c r="B17" s="26"/>
      <c r="C17" s="27"/>
      <c r="D17" s="27"/>
      <c r="E17" s="28"/>
      <c r="F17" s="29">
        <f t="shared" si="0"/>
        <v>0</v>
      </c>
      <c r="G17" s="30"/>
      <c r="H17" s="29">
        <f t="shared" si="1"/>
        <v>0</v>
      </c>
      <c r="I17" s="27"/>
      <c r="J17" s="26"/>
    </row>
    <row r="18" spans="1:10" ht="15.75" customHeight="1" x14ac:dyDescent="0.2">
      <c r="A18" s="26"/>
      <c r="B18" s="26"/>
      <c r="C18" s="27"/>
      <c r="D18" s="27"/>
      <c r="E18" s="28"/>
      <c r="F18" s="29">
        <f t="shared" si="0"/>
        <v>0</v>
      </c>
      <c r="G18" s="30"/>
      <c r="H18" s="29">
        <f t="shared" si="1"/>
        <v>0</v>
      </c>
      <c r="I18" s="27"/>
      <c r="J18" s="26"/>
    </row>
    <row r="19" spans="1:10" ht="15.75" customHeight="1" x14ac:dyDescent="0.2">
      <c r="A19" s="26"/>
      <c r="B19" s="26"/>
      <c r="C19" s="27"/>
      <c r="D19" s="27"/>
      <c r="E19" s="28"/>
      <c r="F19" s="29">
        <f t="shared" si="0"/>
        <v>0</v>
      </c>
      <c r="G19" s="30"/>
      <c r="H19" s="29">
        <f t="shared" si="1"/>
        <v>0</v>
      </c>
      <c r="I19" s="27"/>
      <c r="J19" s="26"/>
    </row>
    <row r="20" spans="1:10" ht="15.75" customHeight="1" x14ac:dyDescent="0.2">
      <c r="A20" s="26"/>
      <c r="B20" s="26"/>
      <c r="C20" s="27"/>
      <c r="D20" s="27"/>
      <c r="E20" s="28"/>
      <c r="F20" s="29">
        <f t="shared" si="0"/>
        <v>0</v>
      </c>
      <c r="G20" s="30"/>
      <c r="H20" s="29">
        <f t="shared" si="1"/>
        <v>0</v>
      </c>
      <c r="I20" s="27"/>
      <c r="J20" s="26"/>
    </row>
    <row r="21" spans="1:10" ht="15.75" customHeight="1" x14ac:dyDescent="0.2">
      <c r="A21" s="26"/>
      <c r="B21" s="26"/>
      <c r="C21" s="27"/>
      <c r="D21" s="27"/>
      <c r="E21" s="28"/>
      <c r="F21" s="29">
        <f t="shared" si="0"/>
        <v>0</v>
      </c>
      <c r="G21" s="30"/>
      <c r="H21" s="29">
        <f t="shared" si="1"/>
        <v>0</v>
      </c>
      <c r="I21" s="27"/>
      <c r="J21" s="26"/>
    </row>
    <row r="22" spans="1:10" ht="15.75" customHeight="1" x14ac:dyDescent="0.2">
      <c r="A22" s="26"/>
      <c r="B22" s="26"/>
      <c r="C22" s="27"/>
      <c r="D22" s="27"/>
      <c r="E22" s="28"/>
      <c r="F22" s="29">
        <f t="shared" si="0"/>
        <v>0</v>
      </c>
      <c r="G22" s="30"/>
      <c r="H22" s="29">
        <f t="shared" si="1"/>
        <v>0</v>
      </c>
      <c r="I22" s="27"/>
      <c r="J22" s="26"/>
    </row>
    <row r="23" spans="1:10" ht="15.75" customHeight="1" x14ac:dyDescent="0.2">
      <c r="A23" s="26"/>
      <c r="B23" s="26"/>
      <c r="C23" s="27"/>
      <c r="D23" s="27"/>
      <c r="E23" s="28"/>
      <c r="F23" s="29">
        <f t="shared" si="0"/>
        <v>0</v>
      </c>
      <c r="G23" s="30"/>
      <c r="H23" s="29">
        <f t="shared" si="1"/>
        <v>0</v>
      </c>
      <c r="I23" s="27"/>
      <c r="J23" s="26"/>
    </row>
    <row r="24" spans="1:10" ht="15.75" customHeight="1" x14ac:dyDescent="0.2">
      <c r="A24" s="26"/>
      <c r="B24" s="26"/>
      <c r="C24" s="27"/>
      <c r="D24" s="27"/>
      <c r="E24" s="28"/>
      <c r="F24" s="29">
        <f t="shared" si="0"/>
        <v>0</v>
      </c>
      <c r="G24" s="30"/>
      <c r="H24" s="29">
        <f t="shared" si="1"/>
        <v>0</v>
      </c>
      <c r="I24" s="27"/>
      <c r="J24" s="26"/>
    </row>
    <row r="25" spans="1:10" ht="15.75" customHeight="1" x14ac:dyDescent="0.2">
      <c r="A25" s="26"/>
      <c r="B25" s="26"/>
      <c r="C25" s="27"/>
      <c r="D25" s="27"/>
      <c r="E25" s="28"/>
      <c r="F25" s="29">
        <f t="shared" si="0"/>
        <v>0</v>
      </c>
      <c r="G25" s="30"/>
      <c r="H25" s="29">
        <f t="shared" si="1"/>
        <v>0</v>
      </c>
      <c r="I25" s="27"/>
      <c r="J25" s="26"/>
    </row>
    <row r="26" spans="1:10" ht="15.75" customHeight="1" x14ac:dyDescent="0.2">
      <c r="A26" s="26"/>
      <c r="B26" s="26"/>
      <c r="C26" s="27"/>
      <c r="D26" s="27"/>
      <c r="E26" s="28"/>
      <c r="F26" s="29">
        <f t="shared" si="0"/>
        <v>0</v>
      </c>
      <c r="G26" s="30"/>
      <c r="H26" s="29">
        <f t="shared" si="1"/>
        <v>0</v>
      </c>
      <c r="I26" s="27"/>
      <c r="J26" s="26"/>
    </row>
    <row r="27" spans="1:10" ht="15.75" customHeight="1" x14ac:dyDescent="0.2">
      <c r="A27" s="26"/>
      <c r="B27" s="26"/>
      <c r="C27" s="27"/>
      <c r="D27" s="27"/>
      <c r="E27" s="28"/>
      <c r="F27" s="29">
        <f t="shared" si="0"/>
        <v>0</v>
      </c>
      <c r="G27" s="30"/>
      <c r="H27" s="29">
        <f t="shared" si="1"/>
        <v>0</v>
      </c>
      <c r="I27" s="27"/>
      <c r="J27" s="26"/>
    </row>
    <row r="28" spans="1:10" ht="15.75" customHeight="1" x14ac:dyDescent="0.2">
      <c r="A28" s="26"/>
      <c r="B28" s="26"/>
      <c r="C28" s="27"/>
      <c r="D28" s="27"/>
      <c r="E28" s="28"/>
      <c r="F28" s="29">
        <f t="shared" si="0"/>
        <v>0</v>
      </c>
      <c r="G28" s="30"/>
      <c r="H28" s="29">
        <f t="shared" si="1"/>
        <v>0</v>
      </c>
      <c r="I28" s="27"/>
      <c r="J28" s="26"/>
    </row>
    <row r="29" spans="1:10" ht="15.75" customHeight="1" x14ac:dyDescent="0.2">
      <c r="A29" s="26"/>
      <c r="B29" s="26"/>
      <c r="C29" s="27"/>
      <c r="D29" s="27"/>
      <c r="E29" s="28"/>
      <c r="F29" s="29">
        <f t="shared" si="0"/>
        <v>0</v>
      </c>
      <c r="G29" s="30"/>
      <c r="H29" s="29">
        <f t="shared" si="1"/>
        <v>0</v>
      </c>
      <c r="I29" s="27"/>
      <c r="J29" s="26"/>
    </row>
    <row r="30" spans="1:10" ht="15.75" customHeight="1" x14ac:dyDescent="0.2">
      <c r="A30" s="26"/>
      <c r="B30" s="26"/>
      <c r="C30" s="27"/>
      <c r="D30" s="27"/>
      <c r="E30" s="28"/>
      <c r="F30" s="29">
        <f t="shared" si="0"/>
        <v>0</v>
      </c>
      <c r="G30" s="30"/>
      <c r="H30" s="29">
        <f t="shared" si="1"/>
        <v>0</v>
      </c>
      <c r="I30" s="27"/>
      <c r="J30" s="26"/>
    </row>
    <row r="31" spans="1:10" ht="15.75" customHeight="1" x14ac:dyDescent="0.2">
      <c r="A31" s="26"/>
      <c r="B31" s="26"/>
      <c r="C31" s="27"/>
      <c r="D31" s="27"/>
      <c r="E31" s="28"/>
      <c r="F31" s="29">
        <f t="shared" si="0"/>
        <v>0</v>
      </c>
      <c r="G31" s="30"/>
      <c r="H31" s="29">
        <f t="shared" si="1"/>
        <v>0</v>
      </c>
      <c r="I31" s="27"/>
      <c r="J31" s="26"/>
    </row>
    <row r="32" spans="1:10" ht="15.75" customHeight="1" x14ac:dyDescent="0.2">
      <c r="A32" s="26"/>
      <c r="B32" s="26"/>
      <c r="C32" s="27"/>
      <c r="D32" s="27"/>
      <c r="E32" s="28"/>
      <c r="F32" s="29">
        <f t="shared" si="0"/>
        <v>0</v>
      </c>
      <c r="G32" s="30"/>
      <c r="H32" s="29">
        <f t="shared" si="1"/>
        <v>0</v>
      </c>
      <c r="I32" s="27"/>
      <c r="J32" s="26"/>
    </row>
    <row r="33" spans="1:10" ht="15.75" customHeight="1" x14ac:dyDescent="0.2">
      <c r="A33" s="26"/>
      <c r="B33" s="26"/>
      <c r="C33" s="27"/>
      <c r="D33" s="27"/>
      <c r="E33" s="28"/>
      <c r="F33" s="29">
        <f t="shared" si="0"/>
        <v>0</v>
      </c>
      <c r="G33" s="30"/>
      <c r="H33" s="29">
        <f t="shared" si="1"/>
        <v>0</v>
      </c>
      <c r="I33" s="27"/>
      <c r="J33" s="26"/>
    </row>
    <row r="34" spans="1:10" ht="15.75" customHeight="1" x14ac:dyDescent="0.2">
      <c r="A34" s="26"/>
      <c r="B34" s="26"/>
      <c r="C34" s="27"/>
      <c r="D34" s="27"/>
      <c r="E34" s="28"/>
      <c r="F34" s="29">
        <f t="shared" si="0"/>
        <v>0</v>
      </c>
      <c r="G34" s="30"/>
      <c r="H34" s="29">
        <f t="shared" si="1"/>
        <v>0</v>
      </c>
      <c r="I34" s="27"/>
      <c r="J34" s="26"/>
    </row>
    <row r="35" spans="1:10" ht="15.75" customHeight="1" x14ac:dyDescent="0.2">
      <c r="A35" s="26"/>
      <c r="B35" s="26"/>
      <c r="C35" s="27"/>
      <c r="D35" s="27"/>
      <c r="E35" s="28"/>
      <c r="F35" s="29">
        <f t="shared" si="0"/>
        <v>0</v>
      </c>
      <c r="G35" s="30"/>
      <c r="H35" s="29">
        <f t="shared" si="1"/>
        <v>0</v>
      </c>
      <c r="I35" s="27"/>
      <c r="J35" s="26"/>
    </row>
    <row r="36" spans="1:10" ht="15.75" customHeight="1" x14ac:dyDescent="0.2">
      <c r="A36" s="26"/>
      <c r="B36" s="26"/>
      <c r="C36" s="27"/>
      <c r="D36" s="27"/>
      <c r="E36" s="28"/>
      <c r="F36" s="29">
        <f t="shared" si="0"/>
        <v>0</v>
      </c>
      <c r="G36" s="30"/>
      <c r="H36" s="29">
        <f t="shared" si="1"/>
        <v>0</v>
      </c>
      <c r="I36" s="27"/>
      <c r="J36" s="26"/>
    </row>
    <row r="37" spans="1:10" ht="15.75" customHeight="1" x14ac:dyDescent="0.2">
      <c r="A37" s="26"/>
      <c r="B37" s="26"/>
      <c r="C37" s="27"/>
      <c r="D37" s="27"/>
      <c r="E37" s="28"/>
      <c r="F37" s="29">
        <f t="shared" si="0"/>
        <v>0</v>
      </c>
      <c r="G37" s="30"/>
      <c r="H37" s="29">
        <f t="shared" si="1"/>
        <v>0</v>
      </c>
      <c r="I37" s="27"/>
      <c r="J37" s="26"/>
    </row>
    <row r="38" spans="1:10" ht="15.75" customHeight="1" x14ac:dyDescent="0.2">
      <c r="A38" s="26"/>
      <c r="B38" s="26"/>
      <c r="C38" s="27"/>
      <c r="D38" s="27"/>
      <c r="E38" s="28"/>
      <c r="F38" s="29">
        <f t="shared" si="0"/>
        <v>0</v>
      </c>
      <c r="G38" s="30"/>
      <c r="H38" s="29">
        <f t="shared" si="1"/>
        <v>0</v>
      </c>
      <c r="I38" s="27"/>
      <c r="J38" s="26"/>
    </row>
    <row r="39" spans="1:10" ht="12.75" x14ac:dyDescent="0.2">
      <c r="A39" s="26"/>
      <c r="B39" s="26"/>
      <c r="C39" s="27"/>
      <c r="D39" s="27"/>
      <c r="E39" s="28"/>
      <c r="F39" s="29">
        <f t="shared" si="0"/>
        <v>0</v>
      </c>
      <c r="G39" s="30"/>
      <c r="H39" s="29">
        <f t="shared" si="1"/>
        <v>0</v>
      </c>
      <c r="I39" s="27"/>
      <c r="J39" s="26"/>
    </row>
    <row r="40" spans="1:10" ht="12.75" x14ac:dyDescent="0.2">
      <c r="A40" s="26"/>
      <c r="B40" s="26"/>
      <c r="C40" s="27"/>
      <c r="D40" s="27"/>
      <c r="E40" s="28"/>
      <c r="F40" s="29">
        <f t="shared" si="0"/>
        <v>0</v>
      </c>
      <c r="G40" s="30"/>
      <c r="H40" s="29">
        <f t="shared" si="1"/>
        <v>0</v>
      </c>
      <c r="I40" s="27"/>
      <c r="J40" s="26"/>
    </row>
    <row r="41" spans="1:10" ht="12.75" x14ac:dyDescent="0.2">
      <c r="A41" s="26"/>
      <c r="B41" s="26"/>
      <c r="C41" s="27"/>
      <c r="D41" s="27"/>
      <c r="E41" s="28"/>
      <c r="F41" s="29">
        <f t="shared" si="0"/>
        <v>0</v>
      </c>
      <c r="G41" s="30"/>
      <c r="H41" s="29">
        <f t="shared" si="1"/>
        <v>0</v>
      </c>
      <c r="I41" s="27"/>
      <c r="J41" s="26"/>
    </row>
    <row r="42" spans="1:10" ht="12.75" x14ac:dyDescent="0.2">
      <c r="A42" s="26"/>
      <c r="B42" s="26"/>
      <c r="C42" s="27"/>
      <c r="D42" s="27"/>
      <c r="E42" s="28"/>
      <c r="F42" s="29">
        <f t="shared" si="0"/>
        <v>0</v>
      </c>
      <c r="G42" s="30"/>
      <c r="H42" s="29">
        <f t="shared" si="1"/>
        <v>0</v>
      </c>
      <c r="I42" s="27"/>
      <c r="J42" s="26"/>
    </row>
    <row r="43" spans="1:10" ht="12.75" x14ac:dyDescent="0.2">
      <c r="A43" s="26"/>
      <c r="B43" s="26"/>
      <c r="C43" s="27"/>
      <c r="D43" s="27"/>
      <c r="E43" s="28"/>
      <c r="F43" s="29">
        <f t="shared" si="0"/>
        <v>0</v>
      </c>
      <c r="G43" s="30"/>
      <c r="H43" s="29">
        <f t="shared" si="1"/>
        <v>0</v>
      </c>
      <c r="I43" s="27"/>
      <c r="J43" s="26"/>
    </row>
    <row r="44" spans="1:10" ht="12.75" x14ac:dyDescent="0.2">
      <c r="A44" s="26"/>
      <c r="B44" s="26"/>
      <c r="C44" s="27"/>
      <c r="D44" s="27"/>
      <c r="E44" s="28"/>
      <c r="F44" s="29">
        <f t="shared" si="0"/>
        <v>0</v>
      </c>
      <c r="G44" s="30"/>
      <c r="H44" s="29">
        <f t="shared" si="1"/>
        <v>0</v>
      </c>
      <c r="I44" s="27"/>
      <c r="J44" s="26"/>
    </row>
    <row r="45" spans="1:10" ht="12.75" x14ac:dyDescent="0.2">
      <c r="A45" s="26"/>
      <c r="B45" s="26"/>
      <c r="C45" s="27"/>
      <c r="D45" s="27"/>
      <c r="E45" s="28"/>
      <c r="F45" s="29">
        <f t="shared" si="0"/>
        <v>0</v>
      </c>
      <c r="G45" s="30"/>
      <c r="H45" s="29">
        <f t="shared" si="1"/>
        <v>0</v>
      </c>
      <c r="I45" s="27"/>
      <c r="J45" s="26"/>
    </row>
    <row r="46" spans="1:10" ht="12.75" x14ac:dyDescent="0.2">
      <c r="A46" s="26"/>
      <c r="B46" s="26"/>
      <c r="C46" s="27"/>
      <c r="D46" s="27"/>
      <c r="E46" s="28"/>
      <c r="F46" s="29">
        <f t="shared" si="0"/>
        <v>0</v>
      </c>
      <c r="G46" s="30"/>
      <c r="H46" s="29">
        <f t="shared" si="1"/>
        <v>0</v>
      </c>
      <c r="I46" s="27"/>
      <c r="J46" s="26"/>
    </row>
    <row r="47" spans="1:10" ht="12.75" x14ac:dyDescent="0.2">
      <c r="A47" s="26"/>
      <c r="B47" s="26"/>
      <c r="C47" s="27"/>
      <c r="D47" s="27"/>
      <c r="E47" s="28"/>
      <c r="F47" s="29">
        <f t="shared" si="0"/>
        <v>0</v>
      </c>
      <c r="G47" s="30"/>
      <c r="H47" s="29">
        <f t="shared" si="1"/>
        <v>0</v>
      </c>
      <c r="I47" s="27"/>
      <c r="J47" s="26"/>
    </row>
    <row r="48" spans="1:10" ht="12.75" x14ac:dyDescent="0.2">
      <c r="A48" s="26"/>
      <c r="B48" s="26"/>
      <c r="C48" s="27"/>
      <c r="D48" s="27"/>
      <c r="E48" s="28"/>
      <c r="F48" s="29">
        <f t="shared" si="0"/>
        <v>0</v>
      </c>
      <c r="G48" s="30"/>
      <c r="H48" s="29">
        <f t="shared" si="1"/>
        <v>0</v>
      </c>
      <c r="I48" s="27"/>
      <c r="J48" s="26"/>
    </row>
    <row r="49" spans="1:10" ht="12.75" x14ac:dyDescent="0.2">
      <c r="A49" s="26"/>
      <c r="B49" s="26"/>
      <c r="C49" s="27"/>
      <c r="D49" s="27"/>
      <c r="E49" s="28"/>
      <c r="F49" s="29">
        <f t="shared" si="0"/>
        <v>0</v>
      </c>
      <c r="G49" s="30"/>
      <c r="H49" s="29">
        <f t="shared" si="1"/>
        <v>0</v>
      </c>
      <c r="I49" s="27"/>
      <c r="J49" s="26"/>
    </row>
    <row r="50" spans="1:10" ht="12.75" x14ac:dyDescent="0.2">
      <c r="A50" s="26"/>
      <c r="B50" s="26"/>
      <c r="C50" s="27"/>
      <c r="D50" s="27"/>
      <c r="E50" s="28"/>
      <c r="F50" s="29">
        <f t="shared" si="0"/>
        <v>0</v>
      </c>
      <c r="G50" s="30"/>
      <c r="H50" s="29">
        <f t="shared" si="1"/>
        <v>0</v>
      </c>
      <c r="I50" s="27"/>
      <c r="J50" s="26"/>
    </row>
    <row r="51" spans="1:10" ht="12.75" x14ac:dyDescent="0.2">
      <c r="A51" s="26"/>
      <c r="B51" s="26"/>
      <c r="C51" s="27"/>
      <c r="D51" s="27"/>
      <c r="E51" s="28"/>
      <c r="F51" s="29">
        <f t="shared" si="0"/>
        <v>0</v>
      </c>
      <c r="G51" s="30"/>
      <c r="H51" s="29">
        <f t="shared" si="1"/>
        <v>0</v>
      </c>
      <c r="I51" s="27"/>
      <c r="J51" s="26"/>
    </row>
    <row r="52" spans="1:10" ht="12.75" x14ac:dyDescent="0.2">
      <c r="A52" s="26"/>
      <c r="B52" s="26"/>
      <c r="C52" s="27"/>
      <c r="D52" s="27"/>
      <c r="E52" s="28"/>
      <c r="F52" s="29">
        <f t="shared" si="0"/>
        <v>0</v>
      </c>
      <c r="G52" s="30"/>
      <c r="H52" s="29">
        <f t="shared" si="1"/>
        <v>0</v>
      </c>
      <c r="I52" s="27"/>
      <c r="J52" s="26"/>
    </row>
    <row r="53" spans="1:10" ht="12.75" x14ac:dyDescent="0.2">
      <c r="A53" s="26"/>
      <c r="B53" s="26"/>
      <c r="C53" s="27"/>
      <c r="D53" s="27"/>
      <c r="E53" s="28"/>
      <c r="F53" s="29">
        <f t="shared" si="0"/>
        <v>0</v>
      </c>
      <c r="G53" s="30"/>
      <c r="H53" s="29">
        <f t="shared" si="1"/>
        <v>0</v>
      </c>
      <c r="I53" s="27"/>
      <c r="J53" s="26"/>
    </row>
    <row r="54" spans="1:10" ht="12.75" x14ac:dyDescent="0.2">
      <c r="A54" s="26"/>
      <c r="B54" s="26"/>
      <c r="C54" s="27"/>
      <c r="D54" s="27"/>
      <c r="E54" s="28"/>
      <c r="F54" s="29">
        <f t="shared" si="0"/>
        <v>0</v>
      </c>
      <c r="G54" s="30"/>
      <c r="H54" s="29">
        <f t="shared" si="1"/>
        <v>0</v>
      </c>
      <c r="I54" s="27"/>
      <c r="J54" s="26"/>
    </row>
    <row r="55" spans="1:10" ht="12.75" x14ac:dyDescent="0.2">
      <c r="A55" s="26"/>
      <c r="B55" s="26"/>
      <c r="C55" s="27"/>
      <c r="D55" s="27"/>
      <c r="E55" s="28"/>
      <c r="F55" s="29">
        <f t="shared" si="0"/>
        <v>0</v>
      </c>
      <c r="G55" s="30"/>
      <c r="H55" s="29">
        <f t="shared" si="1"/>
        <v>0</v>
      </c>
      <c r="I55" s="27"/>
      <c r="J55" s="26"/>
    </row>
    <row r="56" spans="1:10" ht="12.75" x14ac:dyDescent="0.2">
      <c r="A56" s="26"/>
      <c r="B56" s="26"/>
      <c r="C56" s="27"/>
      <c r="D56" s="27"/>
      <c r="E56" s="28"/>
      <c r="F56" s="29">
        <f t="shared" si="0"/>
        <v>0</v>
      </c>
      <c r="G56" s="30"/>
      <c r="H56" s="29">
        <f t="shared" si="1"/>
        <v>0</v>
      </c>
      <c r="I56" s="27"/>
      <c r="J56" s="26"/>
    </row>
    <row r="57" spans="1:10" ht="12.75" x14ac:dyDescent="0.2">
      <c r="A57" s="26"/>
      <c r="B57" s="26"/>
      <c r="C57" s="27"/>
      <c r="D57" s="27"/>
      <c r="E57" s="28"/>
      <c r="F57" s="29">
        <f t="shared" si="0"/>
        <v>0</v>
      </c>
      <c r="G57" s="30"/>
      <c r="H57" s="29">
        <f t="shared" si="1"/>
        <v>0</v>
      </c>
      <c r="I57" s="27"/>
      <c r="J57" s="26"/>
    </row>
    <row r="58" spans="1:10" ht="12.75" x14ac:dyDescent="0.2">
      <c r="A58" s="26"/>
      <c r="B58" s="26"/>
      <c r="C58" s="27"/>
      <c r="D58" s="27"/>
      <c r="E58" s="28"/>
      <c r="F58" s="29">
        <f t="shared" si="0"/>
        <v>0</v>
      </c>
      <c r="G58" s="30"/>
      <c r="H58" s="29">
        <f t="shared" si="1"/>
        <v>0</v>
      </c>
      <c r="I58" s="27"/>
      <c r="J58" s="26"/>
    </row>
    <row r="59" spans="1:10" ht="12.75" x14ac:dyDescent="0.2">
      <c r="A59" s="31"/>
      <c r="B59" s="31"/>
      <c r="C59" s="32"/>
      <c r="D59" s="32"/>
      <c r="E59" s="33"/>
      <c r="F59" s="34">
        <f t="shared" si="0"/>
        <v>0</v>
      </c>
      <c r="G59" s="35"/>
      <c r="H59" s="34">
        <f t="shared" si="1"/>
        <v>0</v>
      </c>
      <c r="I59" s="32"/>
      <c r="J59" s="31"/>
    </row>
    <row r="60" spans="1:10" ht="12.75" x14ac:dyDescent="0.2">
      <c r="A60" s="31"/>
      <c r="B60" s="31"/>
      <c r="C60" s="32"/>
      <c r="D60" s="32"/>
      <c r="E60" s="33"/>
      <c r="F60" s="34">
        <f t="shared" si="0"/>
        <v>0</v>
      </c>
      <c r="G60" s="35"/>
      <c r="H60" s="34">
        <f t="shared" si="1"/>
        <v>0</v>
      </c>
      <c r="I60" s="32"/>
      <c r="J60" s="31"/>
    </row>
    <row r="61" spans="1:10" ht="12.75" x14ac:dyDescent="0.2">
      <c r="A61" s="26"/>
      <c r="B61" s="26"/>
      <c r="C61" s="27"/>
      <c r="D61" s="27"/>
      <c r="E61" s="28"/>
      <c r="F61" s="29">
        <f t="shared" si="0"/>
        <v>0</v>
      </c>
      <c r="G61" s="30"/>
      <c r="H61" s="29">
        <f t="shared" si="1"/>
        <v>0</v>
      </c>
      <c r="I61" s="27"/>
      <c r="J61" s="26"/>
    </row>
    <row r="62" spans="1:10" ht="12.75" x14ac:dyDescent="0.2">
      <c r="A62" s="31"/>
      <c r="B62" s="31"/>
      <c r="C62" s="32"/>
      <c r="D62" s="32"/>
      <c r="E62" s="33"/>
      <c r="F62" s="34">
        <f t="shared" si="0"/>
        <v>0</v>
      </c>
      <c r="G62" s="35"/>
      <c r="H62" s="34">
        <f t="shared" si="1"/>
        <v>0</v>
      </c>
      <c r="I62" s="32"/>
      <c r="J62" s="31"/>
    </row>
    <row r="63" spans="1:10" ht="12.75" x14ac:dyDescent="0.2">
      <c r="A63" s="31"/>
      <c r="B63" s="31"/>
      <c r="C63" s="32"/>
      <c r="D63" s="32"/>
      <c r="E63" s="33"/>
      <c r="F63" s="34">
        <f t="shared" si="0"/>
        <v>0</v>
      </c>
      <c r="G63" s="35"/>
      <c r="H63" s="34">
        <f t="shared" si="1"/>
        <v>0</v>
      </c>
      <c r="I63" s="32"/>
      <c r="J63" s="31"/>
    </row>
    <row r="64" spans="1:10" ht="12.75" x14ac:dyDescent="0.2">
      <c r="A64" s="31"/>
      <c r="B64" s="31"/>
      <c r="C64" s="32"/>
      <c r="D64" s="32"/>
      <c r="E64" s="33"/>
      <c r="F64" s="34">
        <f t="shared" si="0"/>
        <v>0</v>
      </c>
      <c r="G64" s="35"/>
      <c r="H64" s="34">
        <f t="shared" si="1"/>
        <v>0</v>
      </c>
      <c r="I64" s="32"/>
      <c r="J64" s="31"/>
    </row>
    <row r="65" spans="1:10" ht="12.75" x14ac:dyDescent="0.2">
      <c r="A65" s="31"/>
      <c r="B65" s="31"/>
      <c r="C65" s="32"/>
      <c r="D65" s="32"/>
      <c r="E65" s="33"/>
      <c r="F65" s="34">
        <f t="shared" si="0"/>
        <v>0</v>
      </c>
      <c r="G65" s="35"/>
      <c r="H65" s="34">
        <f t="shared" si="1"/>
        <v>0</v>
      </c>
      <c r="I65" s="32"/>
      <c r="J65" s="31"/>
    </row>
    <row r="66" spans="1:10" ht="12.75" x14ac:dyDescent="0.2">
      <c r="A66" s="31"/>
      <c r="B66" s="31"/>
      <c r="C66" s="32"/>
      <c r="D66" s="32"/>
      <c r="E66" s="33"/>
      <c r="F66" s="34">
        <f t="shared" si="0"/>
        <v>0</v>
      </c>
      <c r="G66" s="35"/>
      <c r="H66" s="34">
        <f t="shared" si="1"/>
        <v>0</v>
      </c>
      <c r="I66" s="32"/>
      <c r="J66" s="31"/>
    </row>
    <row r="67" spans="1:10" ht="12.75" x14ac:dyDescent="0.2">
      <c r="A67" s="31"/>
      <c r="B67" s="31"/>
      <c r="C67" s="32"/>
      <c r="D67" s="32"/>
      <c r="E67" s="33"/>
      <c r="F67" s="34">
        <f t="shared" si="0"/>
        <v>0</v>
      </c>
      <c r="G67" s="35"/>
      <c r="H67" s="34">
        <f t="shared" si="1"/>
        <v>0</v>
      </c>
      <c r="I67" s="32"/>
      <c r="J67" s="31"/>
    </row>
    <row r="68" spans="1:10" ht="12.75" x14ac:dyDescent="0.2">
      <c r="A68" s="31"/>
      <c r="B68" s="31"/>
      <c r="C68" s="32"/>
      <c r="D68" s="32"/>
      <c r="E68" s="33"/>
      <c r="F68" s="34">
        <f t="shared" si="0"/>
        <v>0</v>
      </c>
      <c r="G68" s="35"/>
      <c r="H68" s="34">
        <f t="shared" si="1"/>
        <v>0</v>
      </c>
      <c r="I68" s="32"/>
      <c r="J68" s="31"/>
    </row>
    <row r="69" spans="1:10" ht="12.75" x14ac:dyDescent="0.2">
      <c r="A69" s="31"/>
      <c r="B69" s="31"/>
      <c r="C69" s="32"/>
      <c r="D69" s="32"/>
      <c r="E69" s="33"/>
      <c r="F69" s="34">
        <f t="shared" si="0"/>
        <v>0</v>
      </c>
      <c r="G69" s="35"/>
      <c r="H69" s="34">
        <f t="shared" si="1"/>
        <v>0</v>
      </c>
      <c r="I69" s="32"/>
      <c r="J69" s="31"/>
    </row>
    <row r="70" spans="1:10" ht="12.75" x14ac:dyDescent="0.2">
      <c r="A70" s="31"/>
      <c r="B70" s="31"/>
      <c r="C70" s="32"/>
      <c r="D70" s="32"/>
      <c r="E70" s="33"/>
      <c r="F70" s="34">
        <f t="shared" si="0"/>
        <v>0</v>
      </c>
      <c r="G70" s="35"/>
      <c r="H70" s="34">
        <f t="shared" si="1"/>
        <v>0</v>
      </c>
      <c r="I70" s="32"/>
      <c r="J70" s="31"/>
    </row>
    <row r="71" spans="1:10" ht="12.75" x14ac:dyDescent="0.2">
      <c r="A71" s="31"/>
      <c r="B71" s="31"/>
      <c r="C71" s="32"/>
      <c r="D71" s="32"/>
      <c r="E71" s="33"/>
      <c r="F71" s="34">
        <f t="shared" si="0"/>
        <v>0</v>
      </c>
      <c r="G71" s="35"/>
      <c r="H71" s="34">
        <f t="shared" si="1"/>
        <v>0</v>
      </c>
      <c r="I71" s="32"/>
      <c r="J71" s="31"/>
    </row>
    <row r="72" spans="1:10" ht="12.75" x14ac:dyDescent="0.2">
      <c r="A72" s="31"/>
      <c r="B72" s="31"/>
      <c r="C72" s="32"/>
      <c r="D72" s="32"/>
      <c r="E72" s="33"/>
      <c r="F72" s="34">
        <f t="shared" si="0"/>
        <v>0</v>
      </c>
      <c r="G72" s="35"/>
      <c r="H72" s="34">
        <f t="shared" si="1"/>
        <v>0</v>
      </c>
      <c r="I72" s="32"/>
      <c r="J72" s="31"/>
    </row>
    <row r="73" spans="1:10" ht="12.75" x14ac:dyDescent="0.2">
      <c r="A73" s="31"/>
      <c r="B73" s="31"/>
      <c r="C73" s="32"/>
      <c r="D73" s="32"/>
      <c r="E73" s="33"/>
      <c r="F73" s="34">
        <f t="shared" si="0"/>
        <v>0</v>
      </c>
      <c r="G73" s="35"/>
      <c r="H73" s="34">
        <f t="shared" si="1"/>
        <v>0</v>
      </c>
      <c r="I73" s="32"/>
      <c r="J73" s="31"/>
    </row>
    <row r="74" spans="1:10" ht="12.75" x14ac:dyDescent="0.2">
      <c r="A74" s="31"/>
      <c r="B74" s="31"/>
      <c r="C74" s="32"/>
      <c r="D74" s="32"/>
      <c r="E74" s="33"/>
      <c r="F74" s="34">
        <f t="shared" si="0"/>
        <v>0</v>
      </c>
      <c r="G74" s="35"/>
      <c r="H74" s="34">
        <f t="shared" si="1"/>
        <v>0</v>
      </c>
      <c r="I74" s="32"/>
      <c r="J74" s="31"/>
    </row>
    <row r="75" spans="1:10" ht="12.75" x14ac:dyDescent="0.2">
      <c r="A75" s="31"/>
      <c r="B75" s="31"/>
      <c r="C75" s="32"/>
      <c r="D75" s="32"/>
      <c r="E75" s="33"/>
      <c r="F75" s="34">
        <f t="shared" si="0"/>
        <v>0</v>
      </c>
      <c r="G75" s="35"/>
      <c r="H75" s="34">
        <f t="shared" si="1"/>
        <v>0</v>
      </c>
      <c r="I75" s="32"/>
      <c r="J75" s="31"/>
    </row>
    <row r="76" spans="1:10" ht="12.75" x14ac:dyDescent="0.2">
      <c r="A76" s="31"/>
      <c r="B76" s="31"/>
      <c r="C76" s="32"/>
      <c r="D76" s="32"/>
      <c r="E76" s="33"/>
      <c r="F76" s="34">
        <f t="shared" si="0"/>
        <v>0</v>
      </c>
      <c r="G76" s="35"/>
      <c r="H76" s="34">
        <f t="shared" si="1"/>
        <v>0</v>
      </c>
      <c r="I76" s="32"/>
      <c r="J76" s="31"/>
    </row>
    <row r="77" spans="1:10" ht="12.75" x14ac:dyDescent="0.2">
      <c r="A77" s="31"/>
      <c r="B77" s="31"/>
      <c r="C77" s="32"/>
      <c r="D77" s="32"/>
      <c r="E77" s="33"/>
      <c r="F77" s="34">
        <f t="shared" si="0"/>
        <v>0</v>
      </c>
      <c r="G77" s="35"/>
      <c r="H77" s="34">
        <f t="shared" si="1"/>
        <v>0</v>
      </c>
      <c r="I77" s="32"/>
      <c r="J77" s="31"/>
    </row>
    <row r="78" spans="1:10" ht="12.75" x14ac:dyDescent="0.2">
      <c r="A78" s="31"/>
      <c r="B78" s="31"/>
      <c r="C78" s="32"/>
      <c r="D78" s="32"/>
      <c r="E78" s="33"/>
      <c r="F78" s="34">
        <f t="shared" si="0"/>
        <v>0</v>
      </c>
      <c r="G78" s="35"/>
      <c r="H78" s="34">
        <f t="shared" si="1"/>
        <v>0</v>
      </c>
      <c r="I78" s="32"/>
      <c r="J78" s="31"/>
    </row>
    <row r="79" spans="1:10" ht="12.75" x14ac:dyDescent="0.2">
      <c r="A79" s="31"/>
      <c r="B79" s="31"/>
      <c r="C79" s="32"/>
      <c r="D79" s="32"/>
      <c r="E79" s="33"/>
      <c r="F79" s="34">
        <f t="shared" si="0"/>
        <v>0</v>
      </c>
      <c r="G79" s="35"/>
      <c r="H79" s="34">
        <f t="shared" si="1"/>
        <v>0</v>
      </c>
      <c r="I79" s="32"/>
      <c r="J79" s="31"/>
    </row>
    <row r="80" spans="1:10" ht="12.75" x14ac:dyDescent="0.2">
      <c r="A80" s="31"/>
      <c r="B80" s="31"/>
      <c r="C80" s="32"/>
      <c r="D80" s="32"/>
      <c r="E80" s="33"/>
      <c r="F80" s="34">
        <f t="shared" si="0"/>
        <v>0</v>
      </c>
      <c r="G80" s="35"/>
      <c r="H80" s="34">
        <f t="shared" si="1"/>
        <v>0</v>
      </c>
      <c r="I80" s="32"/>
      <c r="J80" s="31"/>
    </row>
    <row r="81" spans="1:10" ht="12.75" x14ac:dyDescent="0.2">
      <c r="A81" s="31"/>
      <c r="B81" s="31"/>
      <c r="C81" s="32"/>
      <c r="D81" s="32"/>
      <c r="E81" s="33"/>
      <c r="F81" s="34">
        <f t="shared" si="0"/>
        <v>0</v>
      </c>
      <c r="G81" s="35"/>
      <c r="H81" s="34">
        <f t="shared" si="1"/>
        <v>0</v>
      </c>
      <c r="I81" s="32"/>
      <c r="J81" s="31"/>
    </row>
    <row r="82" spans="1:10" ht="12.75" x14ac:dyDescent="0.2">
      <c r="A82" s="31"/>
      <c r="B82" s="31"/>
      <c r="C82" s="32"/>
      <c r="D82" s="32"/>
      <c r="E82" s="33"/>
      <c r="F82" s="34">
        <f t="shared" si="0"/>
        <v>0</v>
      </c>
      <c r="G82" s="35"/>
      <c r="H82" s="34">
        <f t="shared" si="1"/>
        <v>0</v>
      </c>
      <c r="I82" s="32"/>
      <c r="J82" s="31"/>
    </row>
    <row r="83" spans="1:10" ht="12.75" x14ac:dyDescent="0.2">
      <c r="A83" s="31"/>
      <c r="B83" s="31"/>
      <c r="C83" s="32"/>
      <c r="D83" s="32"/>
      <c r="E83" s="33"/>
      <c r="F83" s="34">
        <f t="shared" si="0"/>
        <v>0</v>
      </c>
      <c r="G83" s="35"/>
      <c r="H83" s="34">
        <f t="shared" si="1"/>
        <v>0</v>
      </c>
      <c r="I83" s="32"/>
      <c r="J83" s="31"/>
    </row>
    <row r="84" spans="1:10" ht="12.75" x14ac:dyDescent="0.2">
      <c r="A84" s="31"/>
      <c r="B84" s="31"/>
      <c r="C84" s="32"/>
      <c r="D84" s="32"/>
      <c r="E84" s="33"/>
      <c r="F84" s="34">
        <f t="shared" si="0"/>
        <v>0</v>
      </c>
      <c r="G84" s="35"/>
      <c r="H84" s="34">
        <f t="shared" si="1"/>
        <v>0</v>
      </c>
      <c r="I84" s="32"/>
      <c r="J84" s="31"/>
    </row>
    <row r="85" spans="1:10" ht="12.75" x14ac:dyDescent="0.2">
      <c r="A85" s="31"/>
      <c r="B85" s="31"/>
      <c r="C85" s="32"/>
      <c r="D85" s="32"/>
      <c r="E85" s="33"/>
      <c r="F85" s="34">
        <f t="shared" si="0"/>
        <v>0</v>
      </c>
      <c r="G85" s="35"/>
      <c r="H85" s="34">
        <f t="shared" si="1"/>
        <v>0</v>
      </c>
      <c r="I85" s="32"/>
      <c r="J85" s="31"/>
    </row>
    <row r="86" spans="1:10" ht="12.75" x14ac:dyDescent="0.2">
      <c r="A86" s="31"/>
      <c r="B86" s="31"/>
      <c r="C86" s="32"/>
      <c r="D86" s="32"/>
      <c r="E86" s="33"/>
      <c r="F86" s="34">
        <f t="shared" si="0"/>
        <v>0</v>
      </c>
      <c r="G86" s="35"/>
      <c r="H86" s="34">
        <f t="shared" si="1"/>
        <v>0</v>
      </c>
      <c r="I86" s="32"/>
      <c r="J86" s="31"/>
    </row>
    <row r="87" spans="1:10" ht="12.75" x14ac:dyDescent="0.2">
      <c r="A87" s="31"/>
      <c r="B87" s="31"/>
      <c r="C87" s="32"/>
      <c r="D87" s="32"/>
      <c r="E87" s="33"/>
      <c r="F87" s="34">
        <f t="shared" si="0"/>
        <v>0</v>
      </c>
      <c r="G87" s="35"/>
      <c r="H87" s="34">
        <f t="shared" si="1"/>
        <v>0</v>
      </c>
      <c r="I87" s="32"/>
      <c r="J87" s="31"/>
    </row>
    <row r="88" spans="1:10" ht="12.75" x14ac:dyDescent="0.2">
      <c r="A88" s="31"/>
      <c r="B88" s="31"/>
      <c r="C88" s="32"/>
      <c r="D88" s="32"/>
      <c r="E88" s="33"/>
      <c r="F88" s="34">
        <f t="shared" si="0"/>
        <v>0</v>
      </c>
      <c r="G88" s="35"/>
      <c r="H88" s="34">
        <f t="shared" si="1"/>
        <v>0</v>
      </c>
      <c r="I88" s="32"/>
      <c r="J88" s="31"/>
    </row>
    <row r="89" spans="1:10" ht="12.75" x14ac:dyDescent="0.2">
      <c r="A89" s="31"/>
      <c r="B89" s="31"/>
      <c r="C89" s="32"/>
      <c r="D89" s="32"/>
      <c r="E89" s="33"/>
      <c r="F89" s="34">
        <f t="shared" si="0"/>
        <v>0</v>
      </c>
      <c r="G89" s="35"/>
      <c r="H89" s="34">
        <f t="shared" si="1"/>
        <v>0</v>
      </c>
      <c r="I89" s="32"/>
      <c r="J89" s="31"/>
    </row>
    <row r="90" spans="1:10" ht="12.75" x14ac:dyDescent="0.2">
      <c r="A90" s="31"/>
      <c r="B90" s="31"/>
      <c r="C90" s="32"/>
      <c r="D90" s="32"/>
      <c r="E90" s="33"/>
      <c r="F90" s="34">
        <f t="shared" si="0"/>
        <v>0</v>
      </c>
      <c r="G90" s="35"/>
      <c r="H90" s="34">
        <f t="shared" si="1"/>
        <v>0</v>
      </c>
      <c r="I90" s="32"/>
      <c r="J90" s="31"/>
    </row>
    <row r="91" spans="1:10" ht="12.75" x14ac:dyDescent="0.2">
      <c r="A91" s="31"/>
      <c r="B91" s="31"/>
      <c r="C91" s="32"/>
      <c r="D91" s="32"/>
      <c r="E91" s="33"/>
      <c r="F91" s="34">
        <f t="shared" si="0"/>
        <v>0</v>
      </c>
      <c r="G91" s="35"/>
      <c r="H91" s="34">
        <f t="shared" si="1"/>
        <v>0</v>
      </c>
      <c r="I91" s="32"/>
      <c r="J91" s="31"/>
    </row>
    <row r="92" spans="1:10" ht="12.75" x14ac:dyDescent="0.2">
      <c r="A92" s="31"/>
      <c r="B92" s="31"/>
      <c r="C92" s="32"/>
      <c r="D92" s="32"/>
      <c r="E92" s="33"/>
      <c r="F92" s="34">
        <f t="shared" si="0"/>
        <v>0</v>
      </c>
      <c r="G92" s="35"/>
      <c r="H92" s="34">
        <f t="shared" si="1"/>
        <v>0</v>
      </c>
      <c r="I92" s="32"/>
      <c r="J92" s="31"/>
    </row>
    <row r="93" spans="1:10" ht="12.75" x14ac:dyDescent="0.2">
      <c r="A93" s="31"/>
      <c r="B93" s="31"/>
      <c r="C93" s="32"/>
      <c r="D93" s="32"/>
      <c r="E93" s="33"/>
      <c r="F93" s="34">
        <f t="shared" si="0"/>
        <v>0</v>
      </c>
      <c r="G93" s="35"/>
      <c r="H93" s="34">
        <f t="shared" si="1"/>
        <v>0</v>
      </c>
      <c r="I93" s="32"/>
      <c r="J93" s="31"/>
    </row>
    <row r="94" spans="1:10" ht="12.75" x14ac:dyDescent="0.2">
      <c r="A94" s="31"/>
      <c r="B94" s="31"/>
      <c r="C94" s="32"/>
      <c r="D94" s="32"/>
      <c r="E94" s="33"/>
      <c r="F94" s="34">
        <f t="shared" si="0"/>
        <v>0</v>
      </c>
      <c r="G94" s="35"/>
      <c r="H94" s="34">
        <f t="shared" si="1"/>
        <v>0</v>
      </c>
      <c r="I94" s="32"/>
      <c r="J94" s="31"/>
    </row>
    <row r="95" spans="1:10" ht="12.75" x14ac:dyDescent="0.2">
      <c r="A95" s="31"/>
      <c r="B95" s="31"/>
      <c r="C95" s="32"/>
      <c r="D95" s="32"/>
      <c r="E95" s="33"/>
      <c r="F95" s="34">
        <f t="shared" si="0"/>
        <v>0</v>
      </c>
      <c r="G95" s="35"/>
      <c r="H95" s="34">
        <f t="shared" si="1"/>
        <v>0</v>
      </c>
      <c r="I95" s="32"/>
      <c r="J95" s="31"/>
    </row>
    <row r="96" spans="1:10" ht="12.75" x14ac:dyDescent="0.2">
      <c r="A96" s="31"/>
      <c r="B96" s="31"/>
      <c r="C96" s="32"/>
      <c r="D96" s="32"/>
      <c r="E96" s="33"/>
      <c r="F96" s="34">
        <f t="shared" si="0"/>
        <v>0</v>
      </c>
      <c r="G96" s="35"/>
      <c r="H96" s="34">
        <f t="shared" si="1"/>
        <v>0</v>
      </c>
      <c r="I96" s="32"/>
      <c r="J96" s="31"/>
    </row>
    <row r="97" spans="1:10" ht="12.75" x14ac:dyDescent="0.2">
      <c r="A97" s="31"/>
      <c r="B97" s="31"/>
      <c r="C97" s="32"/>
      <c r="D97" s="32"/>
      <c r="E97" s="33"/>
      <c r="F97" s="34">
        <f t="shared" si="0"/>
        <v>0</v>
      </c>
      <c r="G97" s="35"/>
      <c r="H97" s="34">
        <f t="shared" si="1"/>
        <v>0</v>
      </c>
      <c r="I97" s="32"/>
      <c r="J97" s="31"/>
    </row>
    <row r="98" spans="1:10" ht="12.75" x14ac:dyDescent="0.2">
      <c r="A98" s="31"/>
      <c r="B98" s="31"/>
      <c r="C98" s="32"/>
      <c r="D98" s="32"/>
      <c r="E98" s="33"/>
      <c r="F98" s="34">
        <f t="shared" si="0"/>
        <v>0</v>
      </c>
      <c r="G98" s="35"/>
      <c r="H98" s="34">
        <f t="shared" si="1"/>
        <v>0</v>
      </c>
      <c r="I98" s="32"/>
      <c r="J98" s="31"/>
    </row>
    <row r="99" spans="1:10" ht="12.75" x14ac:dyDescent="0.2">
      <c r="A99" s="31"/>
      <c r="B99" s="31"/>
      <c r="C99" s="32"/>
      <c r="D99" s="32"/>
      <c r="E99" s="33"/>
      <c r="F99" s="34">
        <f t="shared" si="0"/>
        <v>0</v>
      </c>
      <c r="G99" s="35"/>
      <c r="H99" s="34">
        <f t="shared" si="1"/>
        <v>0</v>
      </c>
      <c r="I99" s="32"/>
      <c r="J99" s="31"/>
    </row>
    <row r="100" spans="1:10" ht="12.75" x14ac:dyDescent="0.2">
      <c r="A100" s="31"/>
      <c r="B100" s="31"/>
      <c r="C100" s="32"/>
      <c r="D100" s="32"/>
      <c r="E100" s="33"/>
      <c r="F100" s="34">
        <f t="shared" si="0"/>
        <v>0</v>
      </c>
      <c r="G100" s="35"/>
      <c r="H100" s="34">
        <f t="shared" si="1"/>
        <v>0</v>
      </c>
      <c r="I100" s="32"/>
      <c r="J100" s="31"/>
    </row>
    <row r="101" spans="1:10" ht="12.75" x14ac:dyDescent="0.2">
      <c r="A101" s="31"/>
      <c r="B101" s="31"/>
      <c r="C101" s="32"/>
      <c r="D101" s="32"/>
      <c r="E101" s="33"/>
      <c r="F101" s="34">
        <f t="shared" si="0"/>
        <v>0</v>
      </c>
      <c r="G101" s="35"/>
      <c r="H101" s="34">
        <f t="shared" si="1"/>
        <v>0</v>
      </c>
      <c r="I101" s="32"/>
      <c r="J101" s="31"/>
    </row>
    <row r="102" spans="1:10" ht="12.75" x14ac:dyDescent="0.2">
      <c r="A102" s="31"/>
      <c r="B102" s="31"/>
      <c r="C102" s="32"/>
      <c r="D102" s="32"/>
      <c r="E102" s="33"/>
      <c r="F102" s="34">
        <f t="shared" si="0"/>
        <v>0</v>
      </c>
      <c r="G102" s="35"/>
      <c r="H102" s="34">
        <f t="shared" si="1"/>
        <v>0</v>
      </c>
      <c r="I102" s="32"/>
      <c r="J102" s="31"/>
    </row>
    <row r="103" spans="1:10" ht="12.75" x14ac:dyDescent="0.2">
      <c r="A103" s="31"/>
      <c r="B103" s="31"/>
      <c r="C103" s="32"/>
      <c r="D103" s="32"/>
      <c r="E103" s="33"/>
      <c r="F103" s="34">
        <f t="shared" si="0"/>
        <v>0</v>
      </c>
      <c r="G103" s="35"/>
      <c r="H103" s="34">
        <f t="shared" si="1"/>
        <v>0</v>
      </c>
      <c r="I103" s="32"/>
      <c r="J103" s="31"/>
    </row>
    <row r="104" spans="1:10" ht="12.75" x14ac:dyDescent="0.2">
      <c r="A104" s="31"/>
      <c r="B104" s="31"/>
      <c r="C104" s="32"/>
      <c r="D104" s="32"/>
      <c r="E104" s="33"/>
      <c r="F104" s="34">
        <f t="shared" si="0"/>
        <v>0</v>
      </c>
      <c r="G104" s="35"/>
      <c r="H104" s="34">
        <f t="shared" si="1"/>
        <v>0</v>
      </c>
      <c r="I104" s="32"/>
      <c r="J104" s="31"/>
    </row>
    <row r="105" spans="1:10" ht="12.75" x14ac:dyDescent="0.2">
      <c r="A105" s="31"/>
      <c r="B105" s="31"/>
      <c r="C105" s="32"/>
      <c r="D105" s="32"/>
      <c r="E105" s="33"/>
      <c r="F105" s="34">
        <f t="shared" si="0"/>
        <v>0</v>
      </c>
      <c r="G105" s="35"/>
      <c r="H105" s="34">
        <f t="shared" si="1"/>
        <v>0</v>
      </c>
      <c r="I105" s="32"/>
      <c r="J105" s="31"/>
    </row>
    <row r="106" spans="1:10" ht="12.75" x14ac:dyDescent="0.2">
      <c r="A106" s="31"/>
      <c r="B106" s="31"/>
      <c r="C106" s="32"/>
      <c r="D106" s="32"/>
      <c r="E106" s="33"/>
      <c r="F106" s="34">
        <f t="shared" si="0"/>
        <v>0</v>
      </c>
      <c r="G106" s="35"/>
      <c r="H106" s="34">
        <f t="shared" si="1"/>
        <v>0</v>
      </c>
      <c r="I106" s="32"/>
      <c r="J106" s="31"/>
    </row>
    <row r="107" spans="1:10" ht="12.75" x14ac:dyDescent="0.2">
      <c r="A107" s="31"/>
      <c r="B107" s="31"/>
      <c r="C107" s="32"/>
      <c r="D107" s="32"/>
      <c r="E107" s="33"/>
      <c r="F107" s="34">
        <f t="shared" si="0"/>
        <v>0</v>
      </c>
      <c r="G107" s="35"/>
      <c r="H107" s="34">
        <f t="shared" si="1"/>
        <v>0</v>
      </c>
      <c r="I107" s="32"/>
      <c r="J107" s="31"/>
    </row>
    <row r="108" spans="1:10" ht="12.75" x14ac:dyDescent="0.2">
      <c r="A108" s="31"/>
      <c r="B108" s="31"/>
      <c r="C108" s="32"/>
      <c r="D108" s="32"/>
      <c r="E108" s="33"/>
      <c r="F108" s="34">
        <f t="shared" si="0"/>
        <v>0</v>
      </c>
      <c r="G108" s="35"/>
      <c r="H108" s="34">
        <f t="shared" si="1"/>
        <v>0</v>
      </c>
      <c r="I108" s="32"/>
      <c r="J108" s="31"/>
    </row>
    <row r="109" spans="1:10" ht="12.75" x14ac:dyDescent="0.2">
      <c r="A109" s="31"/>
      <c r="B109" s="31"/>
      <c r="C109" s="32"/>
      <c r="D109" s="32"/>
      <c r="E109" s="33"/>
      <c r="F109" s="34">
        <f t="shared" si="0"/>
        <v>0</v>
      </c>
      <c r="G109" s="35"/>
      <c r="H109" s="34">
        <f t="shared" si="1"/>
        <v>0</v>
      </c>
      <c r="I109" s="32"/>
      <c r="J109" s="31"/>
    </row>
    <row r="110" spans="1:10" ht="12.75" x14ac:dyDescent="0.2">
      <c r="A110" s="31"/>
      <c r="B110" s="31"/>
      <c r="C110" s="32"/>
      <c r="D110" s="32"/>
      <c r="E110" s="33"/>
      <c r="F110" s="34">
        <f t="shared" si="0"/>
        <v>0</v>
      </c>
      <c r="G110" s="35"/>
      <c r="H110" s="34">
        <f t="shared" si="1"/>
        <v>0</v>
      </c>
      <c r="I110" s="32"/>
      <c r="J110" s="31"/>
    </row>
    <row r="111" spans="1:10" ht="12.75" x14ac:dyDescent="0.2">
      <c r="A111" s="31"/>
      <c r="B111" s="31"/>
      <c r="C111" s="32"/>
      <c r="D111" s="32"/>
      <c r="E111" s="33"/>
      <c r="F111" s="34">
        <f t="shared" si="0"/>
        <v>0</v>
      </c>
      <c r="G111" s="35"/>
      <c r="H111" s="34">
        <f t="shared" si="1"/>
        <v>0</v>
      </c>
      <c r="I111" s="32"/>
      <c r="J111" s="31"/>
    </row>
    <row r="112" spans="1:10" ht="12.75" x14ac:dyDescent="0.2">
      <c r="A112" s="31"/>
      <c r="B112" s="31"/>
      <c r="C112" s="32"/>
      <c r="D112" s="32"/>
      <c r="E112" s="33"/>
      <c r="F112" s="34">
        <f t="shared" si="0"/>
        <v>0</v>
      </c>
      <c r="G112" s="35"/>
      <c r="H112" s="34">
        <f t="shared" si="1"/>
        <v>0</v>
      </c>
      <c r="I112" s="32"/>
      <c r="J112" s="31"/>
    </row>
    <row r="113" spans="1:10" ht="12.75" x14ac:dyDescent="0.2">
      <c r="A113" s="31"/>
      <c r="B113" s="31"/>
      <c r="C113" s="32"/>
      <c r="D113" s="32"/>
      <c r="E113" s="33"/>
      <c r="F113" s="34">
        <f t="shared" si="0"/>
        <v>0</v>
      </c>
      <c r="G113" s="35"/>
      <c r="H113" s="34">
        <f t="shared" si="1"/>
        <v>0</v>
      </c>
      <c r="I113" s="32"/>
      <c r="J113" s="31"/>
    </row>
    <row r="114" spans="1:10" ht="12.75" x14ac:dyDescent="0.2">
      <c r="A114" s="31"/>
      <c r="B114" s="31"/>
      <c r="C114" s="32"/>
      <c r="D114" s="32"/>
      <c r="E114" s="33"/>
      <c r="F114" s="34"/>
      <c r="G114" s="35"/>
      <c r="H114" s="34"/>
      <c r="I114" s="32"/>
      <c r="J114" s="31"/>
    </row>
    <row r="115" spans="1:10" ht="12.75" x14ac:dyDescent="0.2">
      <c r="A115" s="31"/>
      <c r="B115" s="31"/>
      <c r="C115" s="32"/>
      <c r="D115" s="32"/>
      <c r="E115" s="33"/>
      <c r="F115" s="34">
        <f>IF(G115=0,E115*0.1,IF(OR(C115="Descompressão",C115="MS 207002004"),(E115-H115)*0.05,(E115-H115)*0.1))</f>
        <v>0</v>
      </c>
      <c r="G115" s="35"/>
      <c r="H115" s="34">
        <f>IF(G115=100%,E115,IF(G115=0,0,(E115-(E115/(1+G115)))))</f>
        <v>0</v>
      </c>
      <c r="I115" s="32"/>
      <c r="J115" s="31"/>
    </row>
    <row r="116" spans="1:10" ht="12.75" x14ac:dyDescent="0.2">
      <c r="A116" s="270" t="s">
        <v>44</v>
      </c>
      <c r="B116" s="268"/>
      <c r="C116" s="268"/>
      <c r="D116" s="269"/>
      <c r="E116" s="36">
        <f>SUM(E3:E115)</f>
        <v>142359.96</v>
      </c>
      <c r="F116" s="37"/>
      <c r="G116" s="38"/>
      <c r="H116" s="37"/>
      <c r="I116" s="39"/>
      <c r="J116" s="40"/>
    </row>
    <row r="117" spans="1:10" ht="12.75" x14ac:dyDescent="0.2">
      <c r="A117" s="41"/>
      <c r="B117" s="41"/>
      <c r="C117" s="41"/>
      <c r="D117" s="41"/>
      <c r="E117" s="42"/>
      <c r="F117" s="37"/>
      <c r="G117" s="38"/>
      <c r="H117" s="37"/>
      <c r="I117" s="39"/>
      <c r="J117" s="40"/>
    </row>
  </sheetData>
  <autoFilter ref="A2:J115" xr:uid="{00000000-0009-0000-0000-000008000000}"/>
  <mergeCells count="2">
    <mergeCell ref="A116:D116"/>
    <mergeCell ref="A1:J1"/>
  </mergeCells>
  <conditionalFormatting sqref="A1:A117">
    <cfRule type="expression" dxfId="1" priority="1">
      <formula>MATCH(INDIRECT(ADDRESS(ROW(),COLUMN())),INDIRECT("METAS!B:B"),0)&gt;0</formula>
    </cfRule>
  </conditionalFormatting>
  <dataValidations count="2">
    <dataValidation type="list" allowBlank="1" sqref="C3:C115" xr:uid="{00000000-0002-0000-0800-000000000000}">
      <formula1>"URV,RECLASSIFICAÇÃO"</formula1>
    </dataValidation>
    <dataValidation type="list" allowBlank="1" sqref="I3:I115" xr:uid="{00000000-0002-0000-0800-000001000000}">
      <formula1>"ALVARÁS EXPEDIDOS,ALVARÁS RECEBIDOS,EXPEDIR ALVARÁS,REQUERER SEQUESTRO,AGUARDAR PRAZO RPV,AGUARDAR RETORNO DA CONTADORIA,EXPEDIR RPVS,ALVARÁ PARA CORRIGIR,VERIFICAR SE TODOS OS ALVARÁS FORAM RECEBIDOS,PARA IMPLANTAR,PAGO,ENVIAR PARA CONTADORIA,NA CONTADOR"&amp;"IA"</formula1>
    </dataValidation>
  </dataValidation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.75" customHeight="1" x14ac:dyDescent="0.2"/>
  <cols>
    <col min="1" max="1" width="8.85546875" customWidth="1"/>
    <col min="2" max="2" width="15.5703125" customWidth="1"/>
    <col min="3" max="3" width="16.7109375" customWidth="1"/>
    <col min="4" max="4" width="43.5703125" customWidth="1"/>
    <col min="5" max="5" width="14.7109375" customWidth="1"/>
    <col min="6" max="6" width="11.5703125" customWidth="1"/>
    <col min="7" max="7" width="8" customWidth="1"/>
    <col min="8" max="8" width="10.42578125" customWidth="1"/>
    <col min="9" max="9" width="49.42578125" customWidth="1"/>
    <col min="10" max="10" width="7.85546875" customWidth="1"/>
  </cols>
  <sheetData>
    <row r="1" spans="1:10" ht="15.75" customHeight="1" x14ac:dyDescent="0.2">
      <c r="A1" s="267" t="s">
        <v>0</v>
      </c>
      <c r="B1" s="268"/>
      <c r="C1" s="268"/>
      <c r="D1" s="268"/>
      <c r="E1" s="268"/>
      <c r="F1" s="268"/>
      <c r="G1" s="268"/>
      <c r="H1" s="268"/>
      <c r="I1" s="268"/>
      <c r="J1" s="269"/>
    </row>
    <row r="2" spans="1:10" ht="15.75" customHeight="1" x14ac:dyDescent="0.2">
      <c r="A2" s="165" t="s">
        <v>2</v>
      </c>
      <c r="B2" s="167" t="s">
        <v>1</v>
      </c>
      <c r="C2" s="167" t="s">
        <v>3</v>
      </c>
      <c r="D2" s="165" t="s">
        <v>5</v>
      </c>
      <c r="E2" s="165" t="s">
        <v>6</v>
      </c>
      <c r="F2" s="197" t="s">
        <v>7</v>
      </c>
      <c r="G2" s="198" t="s">
        <v>8</v>
      </c>
      <c r="H2" s="197" t="s">
        <v>10</v>
      </c>
      <c r="I2" s="167" t="s">
        <v>11</v>
      </c>
      <c r="J2" s="165" t="s">
        <v>12</v>
      </c>
    </row>
    <row r="3" spans="1:10" ht="15.75" customHeight="1" x14ac:dyDescent="0.2">
      <c r="A3" s="80">
        <v>2892005</v>
      </c>
      <c r="B3" s="80" t="s">
        <v>710</v>
      </c>
      <c r="C3" s="82"/>
      <c r="D3" s="82" t="s">
        <v>712</v>
      </c>
      <c r="E3" s="134"/>
      <c r="F3" s="29">
        <f t="shared" ref="F3:F113" si="0">IF(G3=0,E3*0.1,IF(OR(C3="Descompressão",C3="MS 207002004"),(E3-H3)*0.05,(E3-H3)*0.1))</f>
        <v>0</v>
      </c>
      <c r="G3" s="90"/>
      <c r="H3" s="29">
        <f t="shared" ref="H3:H113" si="1">IF(G3=100%,E3,IF(G3=0,0,(E3-(E3/(1+G3)))))</f>
        <v>0</v>
      </c>
      <c r="I3" s="82" t="s">
        <v>721</v>
      </c>
      <c r="J3" s="80"/>
    </row>
    <row r="4" spans="1:10" ht="15.75" customHeight="1" x14ac:dyDescent="0.2">
      <c r="A4" s="80">
        <v>2902005</v>
      </c>
      <c r="B4" s="80" t="s">
        <v>710</v>
      </c>
      <c r="C4" s="82"/>
      <c r="D4" s="82" t="s">
        <v>722</v>
      </c>
      <c r="E4" s="134"/>
      <c r="F4" s="29">
        <f t="shared" si="0"/>
        <v>0</v>
      </c>
      <c r="G4" s="90"/>
      <c r="H4" s="29">
        <f t="shared" si="1"/>
        <v>0</v>
      </c>
      <c r="I4" s="82" t="s">
        <v>723</v>
      </c>
      <c r="J4" s="80"/>
    </row>
    <row r="5" spans="1:10" ht="15.75" customHeight="1" x14ac:dyDescent="0.2">
      <c r="A5" s="80">
        <v>2912005</v>
      </c>
      <c r="B5" s="80" t="s">
        <v>710</v>
      </c>
      <c r="C5" s="27"/>
      <c r="D5" s="82" t="s">
        <v>724</v>
      </c>
      <c r="E5" s="28"/>
      <c r="F5" s="29">
        <f t="shared" si="0"/>
        <v>0</v>
      </c>
      <c r="G5" s="30"/>
      <c r="H5" s="29">
        <f t="shared" si="1"/>
        <v>0</v>
      </c>
      <c r="I5" s="82" t="s">
        <v>725</v>
      </c>
      <c r="J5" s="26"/>
    </row>
    <row r="6" spans="1:10" ht="15.75" customHeight="1" x14ac:dyDescent="0.2">
      <c r="A6" s="80">
        <v>2922005</v>
      </c>
      <c r="B6" s="80" t="s">
        <v>710</v>
      </c>
      <c r="C6" s="27"/>
      <c r="D6" s="82" t="s">
        <v>726</v>
      </c>
      <c r="E6" s="28"/>
      <c r="F6" s="29">
        <f t="shared" si="0"/>
        <v>0</v>
      </c>
      <c r="G6" s="30"/>
      <c r="H6" s="29">
        <f t="shared" si="1"/>
        <v>0</v>
      </c>
      <c r="I6" s="82" t="s">
        <v>727</v>
      </c>
      <c r="J6" s="26"/>
    </row>
    <row r="7" spans="1:10" ht="15.75" customHeight="1" x14ac:dyDescent="0.2">
      <c r="A7" s="80">
        <v>2932005</v>
      </c>
      <c r="B7" s="80" t="s">
        <v>710</v>
      </c>
      <c r="C7" s="27"/>
      <c r="D7" s="82" t="s">
        <v>728</v>
      </c>
      <c r="E7" s="28"/>
      <c r="F7" s="29">
        <f t="shared" si="0"/>
        <v>0</v>
      </c>
      <c r="G7" s="30"/>
      <c r="H7" s="29">
        <f t="shared" si="1"/>
        <v>0</v>
      </c>
      <c r="I7" s="82" t="s">
        <v>725</v>
      </c>
      <c r="J7" s="26"/>
    </row>
    <row r="8" spans="1:10" ht="15.75" customHeight="1" x14ac:dyDescent="0.2">
      <c r="A8" s="80">
        <v>2942005</v>
      </c>
      <c r="B8" s="80" t="s">
        <v>710</v>
      </c>
      <c r="C8" s="27"/>
      <c r="D8" s="82" t="s">
        <v>729</v>
      </c>
      <c r="E8" s="134">
        <v>27760.54</v>
      </c>
      <c r="F8" s="29">
        <f t="shared" si="0"/>
        <v>2776.0540000000001</v>
      </c>
      <c r="G8" s="30"/>
      <c r="H8" s="29">
        <f t="shared" si="1"/>
        <v>0</v>
      </c>
      <c r="I8" s="82" t="s">
        <v>727</v>
      </c>
      <c r="J8" s="26"/>
    </row>
    <row r="9" spans="1:10" ht="15.75" customHeight="1" x14ac:dyDescent="0.2">
      <c r="A9" s="80">
        <v>2952005</v>
      </c>
      <c r="B9" s="80" t="s">
        <v>710</v>
      </c>
      <c r="C9" s="27"/>
      <c r="D9" s="82" t="s">
        <v>731</v>
      </c>
      <c r="E9" s="28"/>
      <c r="F9" s="29">
        <f t="shared" si="0"/>
        <v>0</v>
      </c>
      <c r="G9" s="30"/>
      <c r="H9" s="29">
        <f t="shared" si="1"/>
        <v>0</v>
      </c>
      <c r="I9" s="82" t="s">
        <v>732</v>
      </c>
      <c r="J9" s="26"/>
    </row>
    <row r="10" spans="1:10" ht="15.75" customHeight="1" x14ac:dyDescent="0.2">
      <c r="A10" s="80">
        <v>2962005</v>
      </c>
      <c r="B10" s="80" t="s">
        <v>710</v>
      </c>
      <c r="C10" s="27"/>
      <c r="D10" s="82" t="s">
        <v>734</v>
      </c>
      <c r="E10" s="28"/>
      <c r="F10" s="29">
        <f t="shared" si="0"/>
        <v>0</v>
      </c>
      <c r="G10" s="30"/>
      <c r="H10" s="29">
        <f t="shared" si="1"/>
        <v>0</v>
      </c>
      <c r="I10" s="82" t="s">
        <v>52</v>
      </c>
      <c r="J10" s="26"/>
    </row>
    <row r="11" spans="1:10" ht="15.75" customHeight="1" x14ac:dyDescent="0.2">
      <c r="A11" s="80">
        <v>2972005</v>
      </c>
      <c r="B11" s="80" t="s">
        <v>710</v>
      </c>
      <c r="C11" s="27"/>
      <c r="D11" s="82" t="s">
        <v>735</v>
      </c>
      <c r="E11" s="28"/>
      <c r="F11" s="29">
        <f t="shared" si="0"/>
        <v>0</v>
      </c>
      <c r="G11" s="30"/>
      <c r="H11" s="29">
        <f t="shared" si="1"/>
        <v>0</v>
      </c>
      <c r="I11" s="82" t="s">
        <v>725</v>
      </c>
      <c r="J11" s="26"/>
    </row>
    <row r="12" spans="1:10" ht="15.75" customHeight="1" x14ac:dyDescent="0.2">
      <c r="A12" s="80">
        <v>2982005</v>
      </c>
      <c r="B12" s="80" t="s">
        <v>710</v>
      </c>
      <c r="C12" s="27"/>
      <c r="D12" s="82" t="s">
        <v>737</v>
      </c>
      <c r="E12" s="28"/>
      <c r="F12" s="29">
        <f t="shared" si="0"/>
        <v>0</v>
      </c>
      <c r="G12" s="30"/>
      <c r="H12" s="29">
        <f t="shared" si="1"/>
        <v>0</v>
      </c>
      <c r="I12" s="82" t="s">
        <v>727</v>
      </c>
      <c r="J12" s="26"/>
    </row>
    <row r="13" spans="1:10" ht="15.75" customHeight="1" x14ac:dyDescent="0.2">
      <c r="A13" s="80">
        <v>2992005</v>
      </c>
      <c r="B13" s="80" t="s">
        <v>710</v>
      </c>
      <c r="C13" s="27"/>
      <c r="D13" s="82" t="s">
        <v>738</v>
      </c>
      <c r="E13" s="28"/>
      <c r="F13" s="29">
        <f t="shared" si="0"/>
        <v>0</v>
      </c>
      <c r="G13" s="30"/>
      <c r="H13" s="29">
        <f t="shared" si="1"/>
        <v>0</v>
      </c>
      <c r="I13" s="82" t="s">
        <v>52</v>
      </c>
      <c r="J13" s="26"/>
    </row>
    <row r="14" spans="1:10" ht="15.75" customHeight="1" x14ac:dyDescent="0.2">
      <c r="A14" s="80">
        <v>202006</v>
      </c>
      <c r="B14" s="80" t="s">
        <v>710</v>
      </c>
      <c r="C14" s="27"/>
      <c r="D14" s="82" t="s">
        <v>739</v>
      </c>
      <c r="E14" s="134">
        <v>500</v>
      </c>
      <c r="F14" s="29">
        <f t="shared" si="0"/>
        <v>50</v>
      </c>
      <c r="G14" s="30"/>
      <c r="H14" s="29">
        <f t="shared" si="1"/>
        <v>0</v>
      </c>
      <c r="I14" s="82" t="s">
        <v>741</v>
      </c>
      <c r="J14" s="26"/>
    </row>
    <row r="15" spans="1:10" ht="15.75" customHeight="1" x14ac:dyDescent="0.2">
      <c r="A15" s="80">
        <v>1112005</v>
      </c>
      <c r="B15" s="80" t="s">
        <v>742</v>
      </c>
      <c r="C15" s="27"/>
      <c r="D15" s="82" t="s">
        <v>743</v>
      </c>
      <c r="E15" s="134">
        <v>29670.57</v>
      </c>
      <c r="F15" s="29">
        <f t="shared" si="0"/>
        <v>2967.0570000000002</v>
      </c>
      <c r="G15" s="30"/>
      <c r="H15" s="29">
        <f t="shared" si="1"/>
        <v>0</v>
      </c>
      <c r="I15" s="82" t="s">
        <v>52</v>
      </c>
      <c r="J15" s="26"/>
    </row>
    <row r="16" spans="1:10" ht="15.75" customHeight="1" x14ac:dyDescent="0.2">
      <c r="A16" s="80">
        <v>1092005</v>
      </c>
      <c r="B16" s="80" t="s">
        <v>742</v>
      </c>
      <c r="C16" s="27"/>
      <c r="D16" s="82" t="s">
        <v>745</v>
      </c>
      <c r="E16" s="134">
        <v>23182.98</v>
      </c>
      <c r="F16" s="29">
        <f t="shared" si="0"/>
        <v>2318.2980000000002</v>
      </c>
      <c r="G16" s="30"/>
      <c r="H16" s="29">
        <f t="shared" si="1"/>
        <v>0</v>
      </c>
      <c r="I16" s="82" t="s">
        <v>52</v>
      </c>
      <c r="J16" s="26"/>
    </row>
    <row r="17" spans="1:10" ht="15.75" customHeight="1" x14ac:dyDescent="0.2">
      <c r="A17" s="80">
        <v>822005</v>
      </c>
      <c r="B17" s="80" t="s">
        <v>742</v>
      </c>
      <c r="C17" s="27"/>
      <c r="D17" s="82" t="s">
        <v>747</v>
      </c>
      <c r="E17" s="134">
        <v>20285.2</v>
      </c>
      <c r="F17" s="29">
        <f t="shared" si="0"/>
        <v>2028.5200000000002</v>
      </c>
      <c r="G17" s="30"/>
      <c r="H17" s="29">
        <f t="shared" si="1"/>
        <v>0</v>
      </c>
      <c r="I17" s="82" t="s">
        <v>315</v>
      </c>
      <c r="J17" s="26"/>
    </row>
    <row r="18" spans="1:10" ht="15.75" customHeight="1" x14ac:dyDescent="0.2">
      <c r="A18" s="80">
        <v>1102005</v>
      </c>
      <c r="B18" s="80" t="s">
        <v>742</v>
      </c>
      <c r="C18" s="27"/>
      <c r="D18" s="82" t="s">
        <v>749</v>
      </c>
      <c r="E18" s="134">
        <v>10666</v>
      </c>
      <c r="F18" s="29">
        <f t="shared" si="0"/>
        <v>1066.6000000000001</v>
      </c>
      <c r="G18" s="30"/>
      <c r="H18" s="29">
        <f t="shared" si="1"/>
        <v>0</v>
      </c>
      <c r="I18" s="82" t="s">
        <v>52</v>
      </c>
      <c r="J18" s="26"/>
    </row>
    <row r="19" spans="1:10" ht="15.75" customHeight="1" x14ac:dyDescent="0.2">
      <c r="A19" s="80">
        <v>1082005</v>
      </c>
      <c r="B19" s="80" t="s">
        <v>742</v>
      </c>
      <c r="C19" s="27"/>
      <c r="D19" s="82" t="s">
        <v>751</v>
      </c>
      <c r="E19" s="134">
        <v>9406.6200000000008</v>
      </c>
      <c r="F19" s="29">
        <f t="shared" si="0"/>
        <v>940.66200000000015</v>
      </c>
      <c r="G19" s="30"/>
      <c r="H19" s="29">
        <f t="shared" si="1"/>
        <v>0</v>
      </c>
      <c r="I19" s="82" t="s">
        <v>41</v>
      </c>
      <c r="J19" s="26"/>
    </row>
    <row r="20" spans="1:10" ht="15.75" customHeight="1" x14ac:dyDescent="0.2">
      <c r="A20" s="80">
        <v>1072005</v>
      </c>
      <c r="B20" s="80" t="s">
        <v>742</v>
      </c>
      <c r="C20" s="27"/>
      <c r="D20" s="82" t="s">
        <v>753</v>
      </c>
      <c r="E20" s="134">
        <v>23182.98</v>
      </c>
      <c r="F20" s="29">
        <f t="shared" si="0"/>
        <v>2318.2980000000002</v>
      </c>
      <c r="G20" s="30"/>
      <c r="H20" s="29">
        <f t="shared" si="1"/>
        <v>0</v>
      </c>
      <c r="I20" s="82" t="s">
        <v>755</v>
      </c>
      <c r="J20" s="26"/>
    </row>
    <row r="21" spans="1:10" ht="15.75" customHeight="1" x14ac:dyDescent="0.2">
      <c r="A21" s="26"/>
      <c r="B21" s="26"/>
      <c r="C21" s="27"/>
      <c r="D21" s="27"/>
      <c r="E21" s="28"/>
      <c r="F21" s="29">
        <f t="shared" si="0"/>
        <v>0</v>
      </c>
      <c r="G21" s="30"/>
      <c r="H21" s="29">
        <f t="shared" si="1"/>
        <v>0</v>
      </c>
      <c r="I21" s="27"/>
      <c r="J21" s="26"/>
    </row>
    <row r="22" spans="1:10" ht="15.75" customHeight="1" x14ac:dyDescent="0.2">
      <c r="A22" s="26"/>
      <c r="B22" s="26"/>
      <c r="C22" s="27"/>
      <c r="D22" s="27"/>
      <c r="E22" s="28"/>
      <c r="F22" s="29">
        <f t="shared" si="0"/>
        <v>0</v>
      </c>
      <c r="G22" s="30"/>
      <c r="H22" s="29">
        <f t="shared" si="1"/>
        <v>0</v>
      </c>
      <c r="I22" s="27"/>
      <c r="J22" s="26"/>
    </row>
    <row r="23" spans="1:10" ht="15.75" customHeight="1" x14ac:dyDescent="0.2">
      <c r="A23" s="26"/>
      <c r="B23" s="26"/>
      <c r="C23" s="27"/>
      <c r="D23" s="27"/>
      <c r="E23" s="28"/>
      <c r="F23" s="29">
        <f t="shared" si="0"/>
        <v>0</v>
      </c>
      <c r="G23" s="30"/>
      <c r="H23" s="29">
        <f t="shared" si="1"/>
        <v>0</v>
      </c>
      <c r="I23" s="27"/>
      <c r="J23" s="26"/>
    </row>
    <row r="24" spans="1:10" ht="15.75" customHeight="1" x14ac:dyDescent="0.2">
      <c r="A24" s="26"/>
      <c r="B24" s="26"/>
      <c r="C24" s="27"/>
      <c r="D24" s="27"/>
      <c r="E24" s="28"/>
      <c r="F24" s="29">
        <f t="shared" si="0"/>
        <v>0</v>
      </c>
      <c r="G24" s="30"/>
      <c r="H24" s="29">
        <f t="shared" si="1"/>
        <v>0</v>
      </c>
      <c r="I24" s="27"/>
      <c r="J24" s="26"/>
    </row>
    <row r="25" spans="1:10" ht="15.75" customHeight="1" x14ac:dyDescent="0.2">
      <c r="A25" s="26"/>
      <c r="B25" s="26"/>
      <c r="C25" s="27"/>
      <c r="D25" s="27"/>
      <c r="E25" s="28"/>
      <c r="F25" s="29">
        <f t="shared" si="0"/>
        <v>0</v>
      </c>
      <c r="G25" s="30"/>
      <c r="H25" s="29">
        <f t="shared" si="1"/>
        <v>0</v>
      </c>
      <c r="I25" s="27"/>
      <c r="J25" s="26"/>
    </row>
    <row r="26" spans="1:10" ht="15.75" customHeight="1" x14ac:dyDescent="0.2">
      <c r="A26" s="26"/>
      <c r="B26" s="26"/>
      <c r="C26" s="27"/>
      <c r="D26" s="27"/>
      <c r="E26" s="28"/>
      <c r="F26" s="29">
        <f t="shared" si="0"/>
        <v>0</v>
      </c>
      <c r="G26" s="30"/>
      <c r="H26" s="29">
        <f t="shared" si="1"/>
        <v>0</v>
      </c>
      <c r="I26" s="27"/>
      <c r="J26" s="26"/>
    </row>
    <row r="27" spans="1:10" ht="15.75" customHeight="1" x14ac:dyDescent="0.2">
      <c r="A27" s="26"/>
      <c r="B27" s="26"/>
      <c r="C27" s="27"/>
      <c r="D27" s="27"/>
      <c r="E27" s="28"/>
      <c r="F27" s="29">
        <f t="shared" si="0"/>
        <v>0</v>
      </c>
      <c r="G27" s="30"/>
      <c r="H27" s="29">
        <f t="shared" si="1"/>
        <v>0</v>
      </c>
      <c r="I27" s="27"/>
      <c r="J27" s="26"/>
    </row>
    <row r="28" spans="1:10" ht="15.75" customHeight="1" x14ac:dyDescent="0.2">
      <c r="A28" s="26"/>
      <c r="B28" s="26"/>
      <c r="C28" s="27"/>
      <c r="D28" s="27"/>
      <c r="E28" s="28"/>
      <c r="F28" s="29">
        <f t="shared" si="0"/>
        <v>0</v>
      </c>
      <c r="G28" s="30"/>
      <c r="H28" s="29">
        <f t="shared" si="1"/>
        <v>0</v>
      </c>
      <c r="I28" s="27"/>
      <c r="J28" s="26"/>
    </row>
    <row r="29" spans="1:10" ht="15.75" customHeight="1" x14ac:dyDescent="0.2">
      <c r="A29" s="26"/>
      <c r="B29" s="26"/>
      <c r="C29" s="27"/>
      <c r="D29" s="27"/>
      <c r="E29" s="28"/>
      <c r="F29" s="29">
        <f t="shared" si="0"/>
        <v>0</v>
      </c>
      <c r="G29" s="30"/>
      <c r="H29" s="29">
        <f t="shared" si="1"/>
        <v>0</v>
      </c>
      <c r="I29" s="27"/>
      <c r="J29" s="26"/>
    </row>
    <row r="30" spans="1:10" ht="15.75" customHeight="1" x14ac:dyDescent="0.2">
      <c r="A30" s="26"/>
      <c r="B30" s="26"/>
      <c r="C30" s="27"/>
      <c r="D30" s="27"/>
      <c r="E30" s="28"/>
      <c r="F30" s="29">
        <f t="shared" si="0"/>
        <v>0</v>
      </c>
      <c r="G30" s="30"/>
      <c r="H30" s="29">
        <f t="shared" si="1"/>
        <v>0</v>
      </c>
      <c r="I30" s="27"/>
      <c r="J30" s="26"/>
    </row>
    <row r="31" spans="1:10" ht="15.75" customHeight="1" x14ac:dyDescent="0.2">
      <c r="A31" s="26"/>
      <c r="B31" s="26"/>
      <c r="C31" s="27"/>
      <c r="D31" s="27"/>
      <c r="E31" s="28"/>
      <c r="F31" s="29">
        <f t="shared" si="0"/>
        <v>0</v>
      </c>
      <c r="G31" s="30"/>
      <c r="H31" s="29">
        <f t="shared" si="1"/>
        <v>0</v>
      </c>
      <c r="I31" s="27"/>
      <c r="J31" s="26"/>
    </row>
    <row r="32" spans="1:10" ht="15.75" customHeight="1" x14ac:dyDescent="0.2">
      <c r="A32" s="26"/>
      <c r="B32" s="26"/>
      <c r="C32" s="27"/>
      <c r="D32" s="27"/>
      <c r="E32" s="28"/>
      <c r="F32" s="29">
        <f t="shared" si="0"/>
        <v>0</v>
      </c>
      <c r="G32" s="30"/>
      <c r="H32" s="29">
        <f t="shared" si="1"/>
        <v>0</v>
      </c>
      <c r="I32" s="27"/>
      <c r="J32" s="26"/>
    </row>
    <row r="33" spans="1:10" ht="15.75" customHeight="1" x14ac:dyDescent="0.2">
      <c r="A33" s="26"/>
      <c r="B33" s="26"/>
      <c r="C33" s="27"/>
      <c r="D33" s="27"/>
      <c r="E33" s="28"/>
      <c r="F33" s="29">
        <f t="shared" si="0"/>
        <v>0</v>
      </c>
      <c r="G33" s="30"/>
      <c r="H33" s="29">
        <f t="shared" si="1"/>
        <v>0</v>
      </c>
      <c r="I33" s="27"/>
      <c r="J33" s="26"/>
    </row>
    <row r="34" spans="1:10" ht="15.75" customHeight="1" x14ac:dyDescent="0.2">
      <c r="A34" s="26"/>
      <c r="B34" s="26"/>
      <c r="C34" s="27"/>
      <c r="D34" s="27"/>
      <c r="E34" s="28"/>
      <c r="F34" s="29">
        <f t="shared" si="0"/>
        <v>0</v>
      </c>
      <c r="G34" s="30"/>
      <c r="H34" s="29">
        <f t="shared" si="1"/>
        <v>0</v>
      </c>
      <c r="I34" s="27"/>
      <c r="J34" s="26"/>
    </row>
    <row r="35" spans="1:10" ht="15.75" customHeight="1" x14ac:dyDescent="0.2">
      <c r="A35" s="26"/>
      <c r="B35" s="26"/>
      <c r="C35" s="27"/>
      <c r="D35" s="27"/>
      <c r="E35" s="28"/>
      <c r="F35" s="29">
        <f t="shared" si="0"/>
        <v>0</v>
      </c>
      <c r="G35" s="30"/>
      <c r="H35" s="29">
        <f t="shared" si="1"/>
        <v>0</v>
      </c>
      <c r="I35" s="27"/>
      <c r="J35" s="26"/>
    </row>
    <row r="36" spans="1:10" ht="15.75" customHeight="1" x14ac:dyDescent="0.2">
      <c r="A36" s="26"/>
      <c r="B36" s="26"/>
      <c r="C36" s="27"/>
      <c r="D36" s="27"/>
      <c r="E36" s="28"/>
      <c r="F36" s="29">
        <f t="shared" si="0"/>
        <v>0</v>
      </c>
      <c r="G36" s="30"/>
      <c r="H36" s="29">
        <f t="shared" si="1"/>
        <v>0</v>
      </c>
      <c r="I36" s="27"/>
      <c r="J36" s="26"/>
    </row>
    <row r="37" spans="1:10" ht="15.75" customHeight="1" x14ac:dyDescent="0.2">
      <c r="A37" s="26"/>
      <c r="B37" s="26"/>
      <c r="C37" s="27"/>
      <c r="D37" s="27"/>
      <c r="E37" s="28"/>
      <c r="F37" s="29">
        <f t="shared" si="0"/>
        <v>0</v>
      </c>
      <c r="G37" s="30"/>
      <c r="H37" s="29">
        <f t="shared" si="1"/>
        <v>0</v>
      </c>
      <c r="I37" s="27"/>
      <c r="J37" s="26"/>
    </row>
    <row r="38" spans="1:10" ht="15.75" customHeight="1" x14ac:dyDescent="0.2">
      <c r="A38" s="26"/>
      <c r="B38" s="26"/>
      <c r="C38" s="27"/>
      <c r="D38" s="27"/>
      <c r="E38" s="28"/>
      <c r="F38" s="29">
        <f t="shared" si="0"/>
        <v>0</v>
      </c>
      <c r="G38" s="30"/>
      <c r="H38" s="29">
        <f t="shared" si="1"/>
        <v>0</v>
      </c>
      <c r="I38" s="27"/>
      <c r="J38" s="26"/>
    </row>
    <row r="39" spans="1:10" ht="12.75" x14ac:dyDescent="0.2">
      <c r="A39" s="26"/>
      <c r="B39" s="26"/>
      <c r="C39" s="27"/>
      <c r="D39" s="27"/>
      <c r="E39" s="28"/>
      <c r="F39" s="29">
        <f t="shared" si="0"/>
        <v>0</v>
      </c>
      <c r="G39" s="30"/>
      <c r="H39" s="29">
        <f t="shared" si="1"/>
        <v>0</v>
      </c>
      <c r="I39" s="27"/>
      <c r="J39" s="26"/>
    </row>
    <row r="40" spans="1:10" ht="12.75" x14ac:dyDescent="0.2">
      <c r="A40" s="26"/>
      <c r="B40" s="26"/>
      <c r="C40" s="27"/>
      <c r="D40" s="27"/>
      <c r="E40" s="28"/>
      <c r="F40" s="29">
        <f t="shared" si="0"/>
        <v>0</v>
      </c>
      <c r="G40" s="30"/>
      <c r="H40" s="29">
        <f t="shared" si="1"/>
        <v>0</v>
      </c>
      <c r="I40" s="27"/>
      <c r="J40" s="26"/>
    </row>
    <row r="41" spans="1:10" ht="12.75" x14ac:dyDescent="0.2">
      <c r="A41" s="26"/>
      <c r="B41" s="26"/>
      <c r="C41" s="27"/>
      <c r="D41" s="27"/>
      <c r="E41" s="28"/>
      <c r="F41" s="29">
        <f t="shared" si="0"/>
        <v>0</v>
      </c>
      <c r="G41" s="30"/>
      <c r="H41" s="29">
        <f t="shared" si="1"/>
        <v>0</v>
      </c>
      <c r="I41" s="27"/>
      <c r="J41" s="26"/>
    </row>
    <row r="42" spans="1:10" ht="12.75" x14ac:dyDescent="0.2">
      <c r="A42" s="26"/>
      <c r="B42" s="26"/>
      <c r="C42" s="27"/>
      <c r="D42" s="27"/>
      <c r="E42" s="28"/>
      <c r="F42" s="29">
        <f t="shared" si="0"/>
        <v>0</v>
      </c>
      <c r="G42" s="30"/>
      <c r="H42" s="29">
        <f t="shared" si="1"/>
        <v>0</v>
      </c>
      <c r="I42" s="27"/>
      <c r="J42" s="26"/>
    </row>
    <row r="43" spans="1:10" ht="12.75" x14ac:dyDescent="0.2">
      <c r="A43" s="26"/>
      <c r="B43" s="26"/>
      <c r="C43" s="27"/>
      <c r="D43" s="27"/>
      <c r="E43" s="28"/>
      <c r="F43" s="29">
        <f t="shared" si="0"/>
        <v>0</v>
      </c>
      <c r="G43" s="30"/>
      <c r="H43" s="29">
        <f t="shared" si="1"/>
        <v>0</v>
      </c>
      <c r="I43" s="27"/>
      <c r="J43" s="26"/>
    </row>
    <row r="44" spans="1:10" ht="12.75" x14ac:dyDescent="0.2">
      <c r="A44" s="26"/>
      <c r="B44" s="26"/>
      <c r="C44" s="27"/>
      <c r="D44" s="27"/>
      <c r="E44" s="28"/>
      <c r="F44" s="29">
        <f t="shared" si="0"/>
        <v>0</v>
      </c>
      <c r="G44" s="30"/>
      <c r="H44" s="29">
        <f t="shared" si="1"/>
        <v>0</v>
      </c>
      <c r="I44" s="27"/>
      <c r="J44" s="26"/>
    </row>
    <row r="45" spans="1:10" ht="12.75" x14ac:dyDescent="0.2">
      <c r="A45" s="26"/>
      <c r="B45" s="26"/>
      <c r="C45" s="27"/>
      <c r="D45" s="27"/>
      <c r="E45" s="28"/>
      <c r="F45" s="29">
        <f t="shared" si="0"/>
        <v>0</v>
      </c>
      <c r="G45" s="30"/>
      <c r="H45" s="29">
        <f t="shared" si="1"/>
        <v>0</v>
      </c>
      <c r="I45" s="27"/>
      <c r="J45" s="26"/>
    </row>
    <row r="46" spans="1:10" ht="12.75" x14ac:dyDescent="0.2">
      <c r="A46" s="26"/>
      <c r="B46" s="26"/>
      <c r="C46" s="27"/>
      <c r="D46" s="27"/>
      <c r="E46" s="28"/>
      <c r="F46" s="29">
        <f t="shared" si="0"/>
        <v>0</v>
      </c>
      <c r="G46" s="30"/>
      <c r="H46" s="29">
        <f t="shared" si="1"/>
        <v>0</v>
      </c>
      <c r="I46" s="27"/>
      <c r="J46" s="26"/>
    </row>
    <row r="47" spans="1:10" ht="12.75" x14ac:dyDescent="0.2">
      <c r="A47" s="26"/>
      <c r="B47" s="26"/>
      <c r="C47" s="27"/>
      <c r="D47" s="27"/>
      <c r="E47" s="28"/>
      <c r="F47" s="29">
        <f t="shared" si="0"/>
        <v>0</v>
      </c>
      <c r="G47" s="30"/>
      <c r="H47" s="29">
        <f t="shared" si="1"/>
        <v>0</v>
      </c>
      <c r="I47" s="27"/>
      <c r="J47" s="26"/>
    </row>
    <row r="48" spans="1:10" ht="12.75" x14ac:dyDescent="0.2">
      <c r="A48" s="26"/>
      <c r="B48" s="26"/>
      <c r="C48" s="27"/>
      <c r="D48" s="27"/>
      <c r="E48" s="28"/>
      <c r="F48" s="29">
        <f t="shared" si="0"/>
        <v>0</v>
      </c>
      <c r="G48" s="30"/>
      <c r="H48" s="29">
        <f t="shared" si="1"/>
        <v>0</v>
      </c>
      <c r="I48" s="27"/>
      <c r="J48" s="26"/>
    </row>
    <row r="49" spans="1:10" ht="12.75" x14ac:dyDescent="0.2">
      <c r="A49" s="26"/>
      <c r="B49" s="26"/>
      <c r="C49" s="27"/>
      <c r="D49" s="27"/>
      <c r="E49" s="28"/>
      <c r="F49" s="29">
        <f t="shared" si="0"/>
        <v>0</v>
      </c>
      <c r="G49" s="30"/>
      <c r="H49" s="29">
        <f t="shared" si="1"/>
        <v>0</v>
      </c>
      <c r="I49" s="27"/>
      <c r="J49" s="26"/>
    </row>
    <row r="50" spans="1:10" ht="12.75" x14ac:dyDescent="0.2">
      <c r="A50" s="26"/>
      <c r="B50" s="26"/>
      <c r="C50" s="27"/>
      <c r="D50" s="27"/>
      <c r="E50" s="28"/>
      <c r="F50" s="29">
        <f t="shared" si="0"/>
        <v>0</v>
      </c>
      <c r="G50" s="30"/>
      <c r="H50" s="29">
        <f t="shared" si="1"/>
        <v>0</v>
      </c>
      <c r="I50" s="27"/>
      <c r="J50" s="26"/>
    </row>
    <row r="51" spans="1:10" ht="12.75" x14ac:dyDescent="0.2">
      <c r="A51" s="26"/>
      <c r="B51" s="26"/>
      <c r="C51" s="27"/>
      <c r="D51" s="27"/>
      <c r="E51" s="28"/>
      <c r="F51" s="29">
        <f t="shared" si="0"/>
        <v>0</v>
      </c>
      <c r="G51" s="30"/>
      <c r="H51" s="29">
        <f t="shared" si="1"/>
        <v>0</v>
      </c>
      <c r="I51" s="27"/>
      <c r="J51" s="26"/>
    </row>
    <row r="52" spans="1:10" ht="12.75" x14ac:dyDescent="0.2">
      <c r="A52" s="26"/>
      <c r="B52" s="26"/>
      <c r="C52" s="27"/>
      <c r="D52" s="27"/>
      <c r="E52" s="28"/>
      <c r="F52" s="29">
        <f t="shared" si="0"/>
        <v>0</v>
      </c>
      <c r="G52" s="30"/>
      <c r="H52" s="29">
        <f t="shared" si="1"/>
        <v>0</v>
      </c>
      <c r="I52" s="27"/>
      <c r="J52" s="26"/>
    </row>
    <row r="53" spans="1:10" ht="12.75" x14ac:dyDescent="0.2">
      <c r="A53" s="26"/>
      <c r="B53" s="26"/>
      <c r="C53" s="27"/>
      <c r="D53" s="27"/>
      <c r="E53" s="28"/>
      <c r="F53" s="29">
        <f t="shared" si="0"/>
        <v>0</v>
      </c>
      <c r="G53" s="30"/>
      <c r="H53" s="29">
        <f t="shared" si="1"/>
        <v>0</v>
      </c>
      <c r="I53" s="27"/>
      <c r="J53" s="26"/>
    </row>
    <row r="54" spans="1:10" ht="12.75" x14ac:dyDescent="0.2">
      <c r="A54" s="26"/>
      <c r="B54" s="26"/>
      <c r="C54" s="27"/>
      <c r="D54" s="27"/>
      <c r="E54" s="28"/>
      <c r="F54" s="29">
        <f t="shared" si="0"/>
        <v>0</v>
      </c>
      <c r="G54" s="30"/>
      <c r="H54" s="29">
        <f t="shared" si="1"/>
        <v>0</v>
      </c>
      <c r="I54" s="27"/>
      <c r="J54" s="26"/>
    </row>
    <row r="55" spans="1:10" ht="12.75" x14ac:dyDescent="0.2">
      <c r="A55" s="26"/>
      <c r="B55" s="26"/>
      <c r="C55" s="27"/>
      <c r="D55" s="27"/>
      <c r="E55" s="28"/>
      <c r="F55" s="29">
        <f t="shared" si="0"/>
        <v>0</v>
      </c>
      <c r="G55" s="30"/>
      <c r="H55" s="29">
        <f t="shared" si="1"/>
        <v>0</v>
      </c>
      <c r="I55" s="27"/>
      <c r="J55" s="26"/>
    </row>
    <row r="56" spans="1:10" ht="12.75" x14ac:dyDescent="0.2">
      <c r="A56" s="26"/>
      <c r="B56" s="26"/>
      <c r="C56" s="27"/>
      <c r="D56" s="27"/>
      <c r="E56" s="28"/>
      <c r="F56" s="29">
        <f t="shared" si="0"/>
        <v>0</v>
      </c>
      <c r="G56" s="30"/>
      <c r="H56" s="29">
        <f t="shared" si="1"/>
        <v>0</v>
      </c>
      <c r="I56" s="27"/>
      <c r="J56" s="26"/>
    </row>
    <row r="57" spans="1:10" ht="12.75" x14ac:dyDescent="0.2">
      <c r="A57" s="26"/>
      <c r="B57" s="26"/>
      <c r="C57" s="27"/>
      <c r="D57" s="27"/>
      <c r="E57" s="28"/>
      <c r="F57" s="29">
        <f t="shared" si="0"/>
        <v>0</v>
      </c>
      <c r="G57" s="30"/>
      <c r="H57" s="29">
        <f t="shared" si="1"/>
        <v>0</v>
      </c>
      <c r="I57" s="27"/>
      <c r="J57" s="26"/>
    </row>
    <row r="58" spans="1:10" ht="12.75" x14ac:dyDescent="0.2">
      <c r="A58" s="26"/>
      <c r="B58" s="26"/>
      <c r="C58" s="27"/>
      <c r="D58" s="27"/>
      <c r="E58" s="28"/>
      <c r="F58" s="29">
        <f t="shared" si="0"/>
        <v>0</v>
      </c>
      <c r="G58" s="30"/>
      <c r="H58" s="29">
        <f t="shared" si="1"/>
        <v>0</v>
      </c>
      <c r="I58" s="27"/>
      <c r="J58" s="26"/>
    </row>
    <row r="59" spans="1:10" ht="12.75" x14ac:dyDescent="0.2">
      <c r="A59" s="31"/>
      <c r="B59" s="31"/>
      <c r="C59" s="32"/>
      <c r="D59" s="32"/>
      <c r="E59" s="33"/>
      <c r="F59" s="34">
        <f t="shared" si="0"/>
        <v>0</v>
      </c>
      <c r="G59" s="35"/>
      <c r="H59" s="34">
        <f t="shared" si="1"/>
        <v>0</v>
      </c>
      <c r="I59" s="32"/>
      <c r="J59" s="31"/>
    </row>
    <row r="60" spans="1:10" ht="12.75" x14ac:dyDescent="0.2">
      <c r="A60" s="31"/>
      <c r="B60" s="31"/>
      <c r="C60" s="32"/>
      <c r="D60" s="32"/>
      <c r="E60" s="33"/>
      <c r="F60" s="34">
        <f t="shared" si="0"/>
        <v>0</v>
      </c>
      <c r="G60" s="35"/>
      <c r="H60" s="34">
        <f t="shared" si="1"/>
        <v>0</v>
      </c>
      <c r="I60" s="32"/>
      <c r="J60" s="31"/>
    </row>
    <row r="61" spans="1:10" ht="12.75" x14ac:dyDescent="0.2">
      <c r="A61" s="26"/>
      <c r="B61" s="26"/>
      <c r="C61" s="27"/>
      <c r="D61" s="27"/>
      <c r="E61" s="28"/>
      <c r="F61" s="29">
        <f t="shared" si="0"/>
        <v>0</v>
      </c>
      <c r="G61" s="30"/>
      <c r="H61" s="29">
        <f t="shared" si="1"/>
        <v>0</v>
      </c>
      <c r="I61" s="27"/>
      <c r="J61" s="26"/>
    </row>
    <row r="62" spans="1:10" ht="12.75" x14ac:dyDescent="0.2">
      <c r="A62" s="31"/>
      <c r="B62" s="31"/>
      <c r="C62" s="32"/>
      <c r="D62" s="32"/>
      <c r="E62" s="33"/>
      <c r="F62" s="34">
        <f t="shared" si="0"/>
        <v>0</v>
      </c>
      <c r="G62" s="35"/>
      <c r="H62" s="34">
        <f t="shared" si="1"/>
        <v>0</v>
      </c>
      <c r="I62" s="32"/>
      <c r="J62" s="31"/>
    </row>
    <row r="63" spans="1:10" ht="12.75" x14ac:dyDescent="0.2">
      <c r="A63" s="31"/>
      <c r="B63" s="31"/>
      <c r="C63" s="32"/>
      <c r="D63" s="32"/>
      <c r="E63" s="33"/>
      <c r="F63" s="34">
        <f t="shared" si="0"/>
        <v>0</v>
      </c>
      <c r="G63" s="35"/>
      <c r="H63" s="34">
        <f t="shared" si="1"/>
        <v>0</v>
      </c>
      <c r="I63" s="32"/>
      <c r="J63" s="31"/>
    </row>
    <row r="64" spans="1:10" ht="12.75" x14ac:dyDescent="0.2">
      <c r="A64" s="31"/>
      <c r="B64" s="31"/>
      <c r="C64" s="32"/>
      <c r="D64" s="32"/>
      <c r="E64" s="33"/>
      <c r="F64" s="34">
        <f t="shared" si="0"/>
        <v>0</v>
      </c>
      <c r="G64" s="35"/>
      <c r="H64" s="34">
        <f t="shared" si="1"/>
        <v>0</v>
      </c>
      <c r="I64" s="32"/>
      <c r="J64" s="31"/>
    </row>
    <row r="65" spans="1:10" ht="12.75" x14ac:dyDescent="0.2">
      <c r="A65" s="31"/>
      <c r="B65" s="31"/>
      <c r="C65" s="32"/>
      <c r="D65" s="32"/>
      <c r="E65" s="33"/>
      <c r="F65" s="34">
        <f t="shared" si="0"/>
        <v>0</v>
      </c>
      <c r="G65" s="35"/>
      <c r="H65" s="34">
        <f t="shared" si="1"/>
        <v>0</v>
      </c>
      <c r="I65" s="32"/>
      <c r="J65" s="31"/>
    </row>
    <row r="66" spans="1:10" ht="12.75" x14ac:dyDescent="0.2">
      <c r="A66" s="31"/>
      <c r="B66" s="31"/>
      <c r="C66" s="32"/>
      <c r="D66" s="32"/>
      <c r="E66" s="33"/>
      <c r="F66" s="34">
        <f t="shared" si="0"/>
        <v>0</v>
      </c>
      <c r="G66" s="35"/>
      <c r="H66" s="34">
        <f t="shared" si="1"/>
        <v>0</v>
      </c>
      <c r="I66" s="32"/>
      <c r="J66" s="31"/>
    </row>
    <row r="67" spans="1:10" ht="12.75" x14ac:dyDescent="0.2">
      <c r="A67" s="31"/>
      <c r="B67" s="31"/>
      <c r="C67" s="32"/>
      <c r="D67" s="32"/>
      <c r="E67" s="33"/>
      <c r="F67" s="34">
        <f t="shared" si="0"/>
        <v>0</v>
      </c>
      <c r="G67" s="35"/>
      <c r="H67" s="34">
        <f t="shared" si="1"/>
        <v>0</v>
      </c>
      <c r="I67" s="32"/>
      <c r="J67" s="31"/>
    </row>
    <row r="68" spans="1:10" ht="12.75" x14ac:dyDescent="0.2">
      <c r="A68" s="31"/>
      <c r="B68" s="31"/>
      <c r="C68" s="32"/>
      <c r="D68" s="32"/>
      <c r="E68" s="33"/>
      <c r="F68" s="34">
        <f t="shared" si="0"/>
        <v>0</v>
      </c>
      <c r="G68" s="35"/>
      <c r="H68" s="34">
        <f t="shared" si="1"/>
        <v>0</v>
      </c>
      <c r="I68" s="32"/>
      <c r="J68" s="31"/>
    </row>
    <row r="69" spans="1:10" ht="12.75" x14ac:dyDescent="0.2">
      <c r="A69" s="31"/>
      <c r="B69" s="31"/>
      <c r="C69" s="32"/>
      <c r="D69" s="32"/>
      <c r="E69" s="33"/>
      <c r="F69" s="34">
        <f t="shared" si="0"/>
        <v>0</v>
      </c>
      <c r="G69" s="35"/>
      <c r="H69" s="34">
        <f t="shared" si="1"/>
        <v>0</v>
      </c>
      <c r="I69" s="32"/>
      <c r="J69" s="31"/>
    </row>
    <row r="70" spans="1:10" ht="12.75" x14ac:dyDescent="0.2">
      <c r="A70" s="31"/>
      <c r="B70" s="31"/>
      <c r="C70" s="32"/>
      <c r="D70" s="32"/>
      <c r="E70" s="33"/>
      <c r="F70" s="34">
        <f t="shared" si="0"/>
        <v>0</v>
      </c>
      <c r="G70" s="35"/>
      <c r="H70" s="34">
        <f t="shared" si="1"/>
        <v>0</v>
      </c>
      <c r="I70" s="32"/>
      <c r="J70" s="31"/>
    </row>
    <row r="71" spans="1:10" ht="12.75" x14ac:dyDescent="0.2">
      <c r="A71" s="31"/>
      <c r="B71" s="31"/>
      <c r="C71" s="32"/>
      <c r="D71" s="32"/>
      <c r="E71" s="33"/>
      <c r="F71" s="34">
        <f t="shared" si="0"/>
        <v>0</v>
      </c>
      <c r="G71" s="35"/>
      <c r="H71" s="34">
        <f t="shared" si="1"/>
        <v>0</v>
      </c>
      <c r="I71" s="32"/>
      <c r="J71" s="31"/>
    </row>
    <row r="72" spans="1:10" ht="12.75" x14ac:dyDescent="0.2">
      <c r="A72" s="31"/>
      <c r="B72" s="31"/>
      <c r="C72" s="32"/>
      <c r="D72" s="32"/>
      <c r="E72" s="33"/>
      <c r="F72" s="34">
        <f t="shared" si="0"/>
        <v>0</v>
      </c>
      <c r="G72" s="35"/>
      <c r="H72" s="34">
        <f t="shared" si="1"/>
        <v>0</v>
      </c>
      <c r="I72" s="32"/>
      <c r="J72" s="31"/>
    </row>
    <row r="73" spans="1:10" ht="12.75" x14ac:dyDescent="0.2">
      <c r="A73" s="31"/>
      <c r="B73" s="31"/>
      <c r="C73" s="32"/>
      <c r="D73" s="32"/>
      <c r="E73" s="33"/>
      <c r="F73" s="34">
        <f t="shared" si="0"/>
        <v>0</v>
      </c>
      <c r="G73" s="35"/>
      <c r="H73" s="34">
        <f t="shared" si="1"/>
        <v>0</v>
      </c>
      <c r="I73" s="32"/>
      <c r="J73" s="31"/>
    </row>
    <row r="74" spans="1:10" ht="12.75" x14ac:dyDescent="0.2">
      <c r="A74" s="31"/>
      <c r="B74" s="31"/>
      <c r="C74" s="32"/>
      <c r="D74" s="32"/>
      <c r="E74" s="33"/>
      <c r="F74" s="34">
        <f t="shared" si="0"/>
        <v>0</v>
      </c>
      <c r="G74" s="35"/>
      <c r="H74" s="34">
        <f t="shared" si="1"/>
        <v>0</v>
      </c>
      <c r="I74" s="32"/>
      <c r="J74" s="31"/>
    </row>
    <row r="75" spans="1:10" ht="12.75" x14ac:dyDescent="0.2">
      <c r="A75" s="31"/>
      <c r="B75" s="31"/>
      <c r="C75" s="32"/>
      <c r="D75" s="32"/>
      <c r="E75" s="33"/>
      <c r="F75" s="34">
        <f t="shared" si="0"/>
        <v>0</v>
      </c>
      <c r="G75" s="35"/>
      <c r="H75" s="34">
        <f t="shared" si="1"/>
        <v>0</v>
      </c>
      <c r="I75" s="32"/>
      <c r="J75" s="31"/>
    </row>
    <row r="76" spans="1:10" ht="12.75" x14ac:dyDescent="0.2">
      <c r="A76" s="31"/>
      <c r="B76" s="31"/>
      <c r="C76" s="32"/>
      <c r="D76" s="32"/>
      <c r="E76" s="33"/>
      <c r="F76" s="34">
        <f t="shared" si="0"/>
        <v>0</v>
      </c>
      <c r="G76" s="35"/>
      <c r="H76" s="34">
        <f t="shared" si="1"/>
        <v>0</v>
      </c>
      <c r="I76" s="32"/>
      <c r="J76" s="31"/>
    </row>
    <row r="77" spans="1:10" ht="12.75" x14ac:dyDescent="0.2">
      <c r="A77" s="31"/>
      <c r="B77" s="31"/>
      <c r="C77" s="32"/>
      <c r="D77" s="32"/>
      <c r="E77" s="33"/>
      <c r="F77" s="34">
        <f t="shared" si="0"/>
        <v>0</v>
      </c>
      <c r="G77" s="35"/>
      <c r="H77" s="34">
        <f t="shared" si="1"/>
        <v>0</v>
      </c>
      <c r="I77" s="32"/>
      <c r="J77" s="31"/>
    </row>
    <row r="78" spans="1:10" ht="12.75" x14ac:dyDescent="0.2">
      <c r="A78" s="31"/>
      <c r="B78" s="31"/>
      <c r="C78" s="32"/>
      <c r="D78" s="32"/>
      <c r="E78" s="33"/>
      <c r="F78" s="34">
        <f t="shared" si="0"/>
        <v>0</v>
      </c>
      <c r="G78" s="35"/>
      <c r="H78" s="34">
        <f t="shared" si="1"/>
        <v>0</v>
      </c>
      <c r="I78" s="32"/>
      <c r="J78" s="31"/>
    </row>
    <row r="79" spans="1:10" ht="12.75" x14ac:dyDescent="0.2">
      <c r="A79" s="31"/>
      <c r="B79" s="31"/>
      <c r="C79" s="32"/>
      <c r="D79" s="32"/>
      <c r="E79" s="33"/>
      <c r="F79" s="34">
        <f t="shared" si="0"/>
        <v>0</v>
      </c>
      <c r="G79" s="35"/>
      <c r="H79" s="34">
        <f t="shared" si="1"/>
        <v>0</v>
      </c>
      <c r="I79" s="32"/>
      <c r="J79" s="31"/>
    </row>
    <row r="80" spans="1:10" ht="12.75" x14ac:dyDescent="0.2">
      <c r="A80" s="31"/>
      <c r="B80" s="31"/>
      <c r="C80" s="32"/>
      <c r="D80" s="32"/>
      <c r="E80" s="33"/>
      <c r="F80" s="34">
        <f t="shared" si="0"/>
        <v>0</v>
      </c>
      <c r="G80" s="35"/>
      <c r="H80" s="34">
        <f t="shared" si="1"/>
        <v>0</v>
      </c>
      <c r="I80" s="32"/>
      <c r="J80" s="31"/>
    </row>
    <row r="81" spans="1:10" ht="12.75" x14ac:dyDescent="0.2">
      <c r="A81" s="31"/>
      <c r="B81" s="31"/>
      <c r="C81" s="32"/>
      <c r="D81" s="32"/>
      <c r="E81" s="33"/>
      <c r="F81" s="34">
        <f t="shared" si="0"/>
        <v>0</v>
      </c>
      <c r="G81" s="35"/>
      <c r="H81" s="34">
        <f t="shared" si="1"/>
        <v>0</v>
      </c>
      <c r="I81" s="32"/>
      <c r="J81" s="31"/>
    </row>
    <row r="82" spans="1:10" ht="12.75" x14ac:dyDescent="0.2">
      <c r="A82" s="31"/>
      <c r="B82" s="31"/>
      <c r="C82" s="32"/>
      <c r="D82" s="32"/>
      <c r="E82" s="33"/>
      <c r="F82" s="34">
        <f t="shared" si="0"/>
        <v>0</v>
      </c>
      <c r="G82" s="35"/>
      <c r="H82" s="34">
        <f t="shared" si="1"/>
        <v>0</v>
      </c>
      <c r="I82" s="32"/>
      <c r="J82" s="31"/>
    </row>
    <row r="83" spans="1:10" ht="12.75" x14ac:dyDescent="0.2">
      <c r="A83" s="31"/>
      <c r="B83" s="31"/>
      <c r="C83" s="32"/>
      <c r="D83" s="32"/>
      <c r="E83" s="33"/>
      <c r="F83" s="34">
        <f t="shared" si="0"/>
        <v>0</v>
      </c>
      <c r="G83" s="35"/>
      <c r="H83" s="34">
        <f t="shared" si="1"/>
        <v>0</v>
      </c>
      <c r="I83" s="32"/>
      <c r="J83" s="31"/>
    </row>
    <row r="84" spans="1:10" ht="12.75" x14ac:dyDescent="0.2">
      <c r="A84" s="31"/>
      <c r="B84" s="31"/>
      <c r="C84" s="32"/>
      <c r="D84" s="32"/>
      <c r="E84" s="33"/>
      <c r="F84" s="34">
        <f t="shared" si="0"/>
        <v>0</v>
      </c>
      <c r="G84" s="35"/>
      <c r="H84" s="34">
        <f t="shared" si="1"/>
        <v>0</v>
      </c>
      <c r="I84" s="32"/>
      <c r="J84" s="31"/>
    </row>
    <row r="85" spans="1:10" ht="12.75" x14ac:dyDescent="0.2">
      <c r="A85" s="31"/>
      <c r="B85" s="31"/>
      <c r="C85" s="32"/>
      <c r="D85" s="32"/>
      <c r="E85" s="33"/>
      <c r="F85" s="34">
        <f t="shared" si="0"/>
        <v>0</v>
      </c>
      <c r="G85" s="35"/>
      <c r="H85" s="34">
        <f t="shared" si="1"/>
        <v>0</v>
      </c>
      <c r="I85" s="32"/>
      <c r="J85" s="31"/>
    </row>
    <row r="86" spans="1:10" ht="12.75" x14ac:dyDescent="0.2">
      <c r="A86" s="31"/>
      <c r="B86" s="31"/>
      <c r="C86" s="32"/>
      <c r="D86" s="32"/>
      <c r="E86" s="33"/>
      <c r="F86" s="34">
        <f t="shared" si="0"/>
        <v>0</v>
      </c>
      <c r="G86" s="35"/>
      <c r="H86" s="34">
        <f t="shared" si="1"/>
        <v>0</v>
      </c>
      <c r="I86" s="32"/>
      <c r="J86" s="31"/>
    </row>
    <row r="87" spans="1:10" ht="12.75" x14ac:dyDescent="0.2">
      <c r="A87" s="31"/>
      <c r="B87" s="31"/>
      <c r="C87" s="32"/>
      <c r="D87" s="32"/>
      <c r="E87" s="33"/>
      <c r="F87" s="34">
        <f t="shared" si="0"/>
        <v>0</v>
      </c>
      <c r="G87" s="35"/>
      <c r="H87" s="34">
        <f t="shared" si="1"/>
        <v>0</v>
      </c>
      <c r="I87" s="32"/>
      <c r="J87" s="31"/>
    </row>
    <row r="88" spans="1:10" ht="12.75" x14ac:dyDescent="0.2">
      <c r="A88" s="31"/>
      <c r="B88" s="31"/>
      <c r="C88" s="32"/>
      <c r="D88" s="32"/>
      <c r="E88" s="33"/>
      <c r="F88" s="34">
        <f t="shared" si="0"/>
        <v>0</v>
      </c>
      <c r="G88" s="35"/>
      <c r="H88" s="34">
        <f t="shared" si="1"/>
        <v>0</v>
      </c>
      <c r="I88" s="32"/>
      <c r="J88" s="31"/>
    </row>
    <row r="89" spans="1:10" ht="12.75" x14ac:dyDescent="0.2">
      <c r="A89" s="31"/>
      <c r="B89" s="31"/>
      <c r="C89" s="32"/>
      <c r="D89" s="32"/>
      <c r="E89" s="33"/>
      <c r="F89" s="34">
        <f t="shared" si="0"/>
        <v>0</v>
      </c>
      <c r="G89" s="35"/>
      <c r="H89" s="34">
        <f t="shared" si="1"/>
        <v>0</v>
      </c>
      <c r="I89" s="32"/>
      <c r="J89" s="31"/>
    </row>
    <row r="90" spans="1:10" ht="12.75" x14ac:dyDescent="0.2">
      <c r="A90" s="31"/>
      <c r="B90" s="31"/>
      <c r="C90" s="32"/>
      <c r="D90" s="32"/>
      <c r="E90" s="33"/>
      <c r="F90" s="34">
        <f t="shared" si="0"/>
        <v>0</v>
      </c>
      <c r="G90" s="35"/>
      <c r="H90" s="34">
        <f t="shared" si="1"/>
        <v>0</v>
      </c>
      <c r="I90" s="32"/>
      <c r="J90" s="31"/>
    </row>
    <row r="91" spans="1:10" ht="12.75" x14ac:dyDescent="0.2">
      <c r="A91" s="31"/>
      <c r="B91" s="31"/>
      <c r="C91" s="32"/>
      <c r="D91" s="32"/>
      <c r="E91" s="33"/>
      <c r="F91" s="34">
        <f t="shared" si="0"/>
        <v>0</v>
      </c>
      <c r="G91" s="35"/>
      <c r="H91" s="34">
        <f t="shared" si="1"/>
        <v>0</v>
      </c>
      <c r="I91" s="32"/>
      <c r="J91" s="31"/>
    </row>
    <row r="92" spans="1:10" ht="12.75" x14ac:dyDescent="0.2">
      <c r="A92" s="31"/>
      <c r="B92" s="31"/>
      <c r="C92" s="32"/>
      <c r="D92" s="32"/>
      <c r="E92" s="33"/>
      <c r="F92" s="34">
        <f t="shared" si="0"/>
        <v>0</v>
      </c>
      <c r="G92" s="35"/>
      <c r="H92" s="34">
        <f t="shared" si="1"/>
        <v>0</v>
      </c>
      <c r="I92" s="32"/>
      <c r="J92" s="31"/>
    </row>
    <row r="93" spans="1:10" ht="12.75" x14ac:dyDescent="0.2">
      <c r="A93" s="31"/>
      <c r="B93" s="31"/>
      <c r="C93" s="32"/>
      <c r="D93" s="32"/>
      <c r="E93" s="33"/>
      <c r="F93" s="34">
        <f t="shared" si="0"/>
        <v>0</v>
      </c>
      <c r="G93" s="35"/>
      <c r="H93" s="34">
        <f t="shared" si="1"/>
        <v>0</v>
      </c>
      <c r="I93" s="32"/>
      <c r="J93" s="31"/>
    </row>
    <row r="94" spans="1:10" ht="12.75" x14ac:dyDescent="0.2">
      <c r="A94" s="31"/>
      <c r="B94" s="31"/>
      <c r="C94" s="32"/>
      <c r="D94" s="32"/>
      <c r="E94" s="33"/>
      <c r="F94" s="34">
        <f t="shared" si="0"/>
        <v>0</v>
      </c>
      <c r="G94" s="35"/>
      <c r="H94" s="34">
        <f t="shared" si="1"/>
        <v>0</v>
      </c>
      <c r="I94" s="32"/>
      <c r="J94" s="31"/>
    </row>
    <row r="95" spans="1:10" ht="12.75" x14ac:dyDescent="0.2">
      <c r="A95" s="31"/>
      <c r="B95" s="31"/>
      <c r="C95" s="32"/>
      <c r="D95" s="32"/>
      <c r="E95" s="33"/>
      <c r="F95" s="34">
        <f t="shared" si="0"/>
        <v>0</v>
      </c>
      <c r="G95" s="35"/>
      <c r="H95" s="34">
        <f t="shared" si="1"/>
        <v>0</v>
      </c>
      <c r="I95" s="32"/>
      <c r="J95" s="31"/>
    </row>
    <row r="96" spans="1:10" ht="12.75" x14ac:dyDescent="0.2">
      <c r="A96" s="31"/>
      <c r="B96" s="31"/>
      <c r="C96" s="32"/>
      <c r="D96" s="32"/>
      <c r="E96" s="33"/>
      <c r="F96" s="34">
        <f t="shared" si="0"/>
        <v>0</v>
      </c>
      <c r="G96" s="35"/>
      <c r="H96" s="34">
        <f t="shared" si="1"/>
        <v>0</v>
      </c>
      <c r="I96" s="32"/>
      <c r="J96" s="31"/>
    </row>
    <row r="97" spans="1:10" ht="12.75" x14ac:dyDescent="0.2">
      <c r="A97" s="31"/>
      <c r="B97" s="31"/>
      <c r="C97" s="32"/>
      <c r="D97" s="32"/>
      <c r="E97" s="33"/>
      <c r="F97" s="34">
        <f t="shared" si="0"/>
        <v>0</v>
      </c>
      <c r="G97" s="35"/>
      <c r="H97" s="34">
        <f t="shared" si="1"/>
        <v>0</v>
      </c>
      <c r="I97" s="32"/>
      <c r="J97" s="31"/>
    </row>
    <row r="98" spans="1:10" ht="12.75" x14ac:dyDescent="0.2">
      <c r="A98" s="31"/>
      <c r="B98" s="31"/>
      <c r="C98" s="32"/>
      <c r="D98" s="32"/>
      <c r="E98" s="33"/>
      <c r="F98" s="34">
        <f t="shared" si="0"/>
        <v>0</v>
      </c>
      <c r="G98" s="35"/>
      <c r="H98" s="34">
        <f t="shared" si="1"/>
        <v>0</v>
      </c>
      <c r="I98" s="32"/>
      <c r="J98" s="31"/>
    </row>
    <row r="99" spans="1:10" ht="12.75" x14ac:dyDescent="0.2">
      <c r="A99" s="31"/>
      <c r="B99" s="31"/>
      <c r="C99" s="32"/>
      <c r="D99" s="32"/>
      <c r="E99" s="33"/>
      <c r="F99" s="34">
        <f t="shared" si="0"/>
        <v>0</v>
      </c>
      <c r="G99" s="35"/>
      <c r="H99" s="34">
        <f t="shared" si="1"/>
        <v>0</v>
      </c>
      <c r="I99" s="32"/>
      <c r="J99" s="31"/>
    </row>
    <row r="100" spans="1:10" ht="12.75" x14ac:dyDescent="0.2">
      <c r="A100" s="31"/>
      <c r="B100" s="31"/>
      <c r="C100" s="32"/>
      <c r="D100" s="32"/>
      <c r="E100" s="33"/>
      <c r="F100" s="34">
        <f t="shared" si="0"/>
        <v>0</v>
      </c>
      <c r="G100" s="35"/>
      <c r="H100" s="34">
        <f t="shared" si="1"/>
        <v>0</v>
      </c>
      <c r="I100" s="32"/>
      <c r="J100" s="31"/>
    </row>
    <row r="101" spans="1:10" ht="12.75" x14ac:dyDescent="0.2">
      <c r="A101" s="31"/>
      <c r="B101" s="31"/>
      <c r="C101" s="32"/>
      <c r="D101" s="32"/>
      <c r="E101" s="33"/>
      <c r="F101" s="34">
        <f t="shared" si="0"/>
        <v>0</v>
      </c>
      <c r="G101" s="35"/>
      <c r="H101" s="34">
        <f t="shared" si="1"/>
        <v>0</v>
      </c>
      <c r="I101" s="32"/>
      <c r="J101" s="31"/>
    </row>
    <row r="102" spans="1:10" ht="12.75" x14ac:dyDescent="0.2">
      <c r="A102" s="31"/>
      <c r="B102" s="31"/>
      <c r="C102" s="32"/>
      <c r="D102" s="32"/>
      <c r="E102" s="33"/>
      <c r="F102" s="34">
        <f t="shared" si="0"/>
        <v>0</v>
      </c>
      <c r="G102" s="35"/>
      <c r="H102" s="34">
        <f t="shared" si="1"/>
        <v>0</v>
      </c>
      <c r="I102" s="32"/>
      <c r="J102" s="31"/>
    </row>
    <row r="103" spans="1:10" ht="12.75" x14ac:dyDescent="0.2">
      <c r="A103" s="31"/>
      <c r="B103" s="31"/>
      <c r="C103" s="32"/>
      <c r="D103" s="32"/>
      <c r="E103" s="33"/>
      <c r="F103" s="34">
        <f t="shared" si="0"/>
        <v>0</v>
      </c>
      <c r="G103" s="35"/>
      <c r="H103" s="34">
        <f t="shared" si="1"/>
        <v>0</v>
      </c>
      <c r="I103" s="32"/>
      <c r="J103" s="31"/>
    </row>
    <row r="104" spans="1:10" ht="12.75" x14ac:dyDescent="0.2">
      <c r="A104" s="31"/>
      <c r="B104" s="31"/>
      <c r="C104" s="32"/>
      <c r="D104" s="32"/>
      <c r="E104" s="33"/>
      <c r="F104" s="34">
        <f t="shared" si="0"/>
        <v>0</v>
      </c>
      <c r="G104" s="35"/>
      <c r="H104" s="34">
        <f t="shared" si="1"/>
        <v>0</v>
      </c>
      <c r="I104" s="32"/>
      <c r="J104" s="31"/>
    </row>
    <row r="105" spans="1:10" ht="12.75" x14ac:dyDescent="0.2">
      <c r="A105" s="31"/>
      <c r="B105" s="31"/>
      <c r="C105" s="32"/>
      <c r="D105" s="32"/>
      <c r="E105" s="33"/>
      <c r="F105" s="34">
        <f t="shared" si="0"/>
        <v>0</v>
      </c>
      <c r="G105" s="35"/>
      <c r="H105" s="34">
        <f t="shared" si="1"/>
        <v>0</v>
      </c>
      <c r="I105" s="32"/>
      <c r="J105" s="31"/>
    </row>
    <row r="106" spans="1:10" ht="12.75" x14ac:dyDescent="0.2">
      <c r="A106" s="31"/>
      <c r="B106" s="31"/>
      <c r="C106" s="32"/>
      <c r="D106" s="32"/>
      <c r="E106" s="33"/>
      <c r="F106" s="34">
        <f t="shared" si="0"/>
        <v>0</v>
      </c>
      <c r="G106" s="35"/>
      <c r="H106" s="34">
        <f t="shared" si="1"/>
        <v>0</v>
      </c>
      <c r="I106" s="32"/>
      <c r="J106" s="31"/>
    </row>
    <row r="107" spans="1:10" ht="12.75" x14ac:dyDescent="0.2">
      <c r="A107" s="31"/>
      <c r="B107" s="31"/>
      <c r="C107" s="32"/>
      <c r="D107" s="32"/>
      <c r="E107" s="33"/>
      <c r="F107" s="34">
        <f t="shared" si="0"/>
        <v>0</v>
      </c>
      <c r="G107" s="35"/>
      <c r="H107" s="34">
        <f t="shared" si="1"/>
        <v>0</v>
      </c>
      <c r="I107" s="32"/>
      <c r="J107" s="31"/>
    </row>
    <row r="108" spans="1:10" ht="12.75" x14ac:dyDescent="0.2">
      <c r="A108" s="31"/>
      <c r="B108" s="31"/>
      <c r="C108" s="32"/>
      <c r="D108" s="32"/>
      <c r="E108" s="33"/>
      <c r="F108" s="34">
        <f t="shared" si="0"/>
        <v>0</v>
      </c>
      <c r="G108" s="35"/>
      <c r="H108" s="34">
        <f t="shared" si="1"/>
        <v>0</v>
      </c>
      <c r="I108" s="32"/>
      <c r="J108" s="31"/>
    </row>
    <row r="109" spans="1:10" ht="12.75" x14ac:dyDescent="0.2">
      <c r="A109" s="31"/>
      <c r="B109" s="31"/>
      <c r="C109" s="32"/>
      <c r="D109" s="32"/>
      <c r="E109" s="33"/>
      <c r="F109" s="34">
        <f t="shared" si="0"/>
        <v>0</v>
      </c>
      <c r="G109" s="35"/>
      <c r="H109" s="34">
        <f t="shared" si="1"/>
        <v>0</v>
      </c>
      <c r="I109" s="32"/>
      <c r="J109" s="31"/>
    </row>
    <row r="110" spans="1:10" ht="12.75" x14ac:dyDescent="0.2">
      <c r="A110" s="31"/>
      <c r="B110" s="31"/>
      <c r="C110" s="32"/>
      <c r="D110" s="32"/>
      <c r="E110" s="33"/>
      <c r="F110" s="34">
        <f t="shared" si="0"/>
        <v>0</v>
      </c>
      <c r="G110" s="35"/>
      <c r="H110" s="34">
        <f t="shared" si="1"/>
        <v>0</v>
      </c>
      <c r="I110" s="32"/>
      <c r="J110" s="31"/>
    </row>
    <row r="111" spans="1:10" ht="12.75" x14ac:dyDescent="0.2">
      <c r="A111" s="31"/>
      <c r="B111" s="31"/>
      <c r="C111" s="32"/>
      <c r="D111" s="32"/>
      <c r="E111" s="33"/>
      <c r="F111" s="34">
        <f t="shared" si="0"/>
        <v>0</v>
      </c>
      <c r="G111" s="35"/>
      <c r="H111" s="34">
        <f t="shared" si="1"/>
        <v>0</v>
      </c>
      <c r="I111" s="32"/>
      <c r="J111" s="31"/>
    </row>
    <row r="112" spans="1:10" ht="12.75" x14ac:dyDescent="0.2">
      <c r="A112" s="31"/>
      <c r="B112" s="31"/>
      <c r="C112" s="32"/>
      <c r="D112" s="32"/>
      <c r="E112" s="33"/>
      <c r="F112" s="34">
        <f t="shared" si="0"/>
        <v>0</v>
      </c>
      <c r="G112" s="35"/>
      <c r="H112" s="34">
        <f t="shared" si="1"/>
        <v>0</v>
      </c>
      <c r="I112" s="32"/>
      <c r="J112" s="31"/>
    </row>
    <row r="113" spans="1:10" ht="12.75" x14ac:dyDescent="0.2">
      <c r="A113" s="31"/>
      <c r="B113" s="31"/>
      <c r="C113" s="32"/>
      <c r="D113" s="32"/>
      <c r="E113" s="33"/>
      <c r="F113" s="34">
        <f t="shared" si="0"/>
        <v>0</v>
      </c>
      <c r="G113" s="35"/>
      <c r="H113" s="34">
        <f t="shared" si="1"/>
        <v>0</v>
      </c>
      <c r="I113" s="32"/>
      <c r="J113" s="31"/>
    </row>
    <row r="114" spans="1:10" ht="12.75" x14ac:dyDescent="0.2">
      <c r="A114" s="31"/>
      <c r="B114" s="31"/>
      <c r="C114" s="32"/>
      <c r="D114" s="32"/>
      <c r="E114" s="33"/>
      <c r="F114" s="34"/>
      <c r="G114" s="35"/>
      <c r="H114" s="34"/>
      <c r="I114" s="32"/>
      <c r="J114" s="31"/>
    </row>
    <row r="115" spans="1:10" ht="12.75" x14ac:dyDescent="0.2">
      <c r="A115" s="31"/>
      <c r="B115" s="31"/>
      <c r="C115" s="32"/>
      <c r="D115" s="32"/>
      <c r="E115" s="33"/>
      <c r="F115" s="34">
        <f>IF(G115=0,E115*0.1,IF(OR(C115="Descompressão",C115="MS 207002004"),(E115-H115)*0.05,(E115-H115)*0.1))</f>
        <v>0</v>
      </c>
      <c r="G115" s="35"/>
      <c r="H115" s="34">
        <f>IF(G115=100%,E115,IF(G115=0,0,(E115-(E115/(1+G115)))))</f>
        <v>0</v>
      </c>
      <c r="I115" s="32"/>
      <c r="J115" s="31"/>
    </row>
    <row r="116" spans="1:10" ht="12.75" x14ac:dyDescent="0.2">
      <c r="A116" s="270" t="s">
        <v>44</v>
      </c>
      <c r="B116" s="268"/>
      <c r="C116" s="268"/>
      <c r="D116" s="269"/>
      <c r="E116" s="36">
        <f>SUM(E3:E115)</f>
        <v>144654.88999999998</v>
      </c>
      <c r="F116" s="37"/>
      <c r="G116" s="38"/>
      <c r="H116" s="37"/>
      <c r="I116" s="39"/>
      <c r="J116" s="40"/>
    </row>
    <row r="117" spans="1:10" ht="12.75" x14ac:dyDescent="0.2">
      <c r="A117" s="41"/>
      <c r="B117" s="41"/>
      <c r="C117" s="41"/>
      <c r="D117" s="41"/>
      <c r="E117" s="42"/>
      <c r="F117" s="37"/>
      <c r="G117" s="38"/>
      <c r="H117" s="37"/>
      <c r="I117" s="39"/>
      <c r="J117" s="40"/>
    </row>
  </sheetData>
  <autoFilter ref="A2:J115" xr:uid="{00000000-0009-0000-0000-000009000000}"/>
  <mergeCells count="2">
    <mergeCell ref="A116:D116"/>
    <mergeCell ref="A1:J1"/>
  </mergeCells>
  <conditionalFormatting sqref="A1:A117">
    <cfRule type="expression" dxfId="0" priority="1">
      <formula>MATCH(INDIRECT(ADDRESS(ROW(),COLUMN())),INDIRECT("METAS!B:B"),0)&gt;0</formula>
    </cfRule>
  </conditionalFormatting>
  <dataValidations count="2">
    <dataValidation type="list" allowBlank="1" sqref="C3:C115" xr:uid="{00000000-0002-0000-0900-000000000000}">
      <formula1>"URV,RECLASSIFICAÇÃO"</formula1>
    </dataValidation>
    <dataValidation type="list" allowBlank="1" sqref="I3:I115" xr:uid="{00000000-0002-0000-0900-000001000000}">
      <formula1>"ALVARÁS EXPEDIDOS,ALVARÁS RECEBIDOS,EXPEDIR ALVARÁS,REQUERER SEQUESTRO,AGUARDAR PRAZO RPV,AGUARDAR RETORNO DA CONTADORIA,EXPEDIR RPVS,ALVARÁ PARA CORRIGIR,VERIFICAR SE TODOS OS ALVARÁS FORAM RECEBIDOS,PARA IMPLANTAR,PAGO,ENVIAR PARA CONTADORIA,NA CONTADOR"&amp;"IA"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TODOS</vt:lpstr>
      <vt:lpstr>RPVs 1VF</vt:lpstr>
      <vt:lpstr>RPVs 2VF</vt:lpstr>
      <vt:lpstr>RPVs 3VF</vt:lpstr>
      <vt:lpstr>RPVs 4VF</vt:lpstr>
      <vt:lpstr>RPVs 5VF</vt:lpstr>
      <vt:lpstr>RPVs TJ</vt:lpstr>
      <vt:lpstr>CÍVEIS</vt:lpstr>
      <vt:lpstr>OUTROS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Henrique</dc:creator>
  <cp:lastModifiedBy>Thiago Henrique</cp:lastModifiedBy>
  <dcterms:created xsi:type="dcterms:W3CDTF">2017-11-08T13:42:26Z</dcterms:created>
  <dcterms:modified xsi:type="dcterms:W3CDTF">2017-11-08T13:42:26Z</dcterms:modified>
</cp:coreProperties>
</file>