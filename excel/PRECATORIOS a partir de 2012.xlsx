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UOL HOST\Jurídico\CORREIÇÃO\venv_scrapping\src\"/>
    </mc:Choice>
  </mc:AlternateContent>
  <bookViews>
    <workbookView xWindow="0" yWindow="0" windowWidth="28800" windowHeight="11610" activeTab="2"/>
  </bookViews>
  <sheets>
    <sheet name="FORMAR PREC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OUTROS" sheetId="9" r:id="rId9"/>
  </sheets>
  <definedNames>
    <definedName name="_xlnm._FilterDatabase" localSheetId="1" hidden="1">'2012'!$A$2:$H$59</definedName>
    <definedName name="_xlnm._FilterDatabase" localSheetId="2" hidden="1">'2013'!$A$2:$K$2</definedName>
    <definedName name="_xlnm._FilterDatabase" localSheetId="3" hidden="1">'2014'!$A$2:$K$2</definedName>
    <definedName name="_xlnm._FilterDatabase" localSheetId="4" hidden="1">'2015'!$A$2:$L$147</definedName>
    <definedName name="_xlnm._FilterDatabase" localSheetId="0" hidden="1">'FORMAR PREC'!$A$2:$F$52</definedName>
    <definedName name="_xlnm._FilterDatabase" localSheetId="8" hidden="1">OUTROS!$A$2:$G$2</definedName>
  </definedNames>
  <calcPr calcId="171027"/>
</workbook>
</file>

<file path=xl/calcChain.xml><?xml version="1.0" encoding="utf-8"?>
<calcChain xmlns="http://schemas.openxmlformats.org/spreadsheetml/2006/main">
  <c r="F51" i="9" l="1"/>
  <c r="F221" i="8"/>
  <c r="J220" i="8"/>
  <c r="I220" i="8"/>
  <c r="G220" i="8"/>
  <c r="J219" i="8"/>
  <c r="I219" i="8"/>
  <c r="G219" i="8"/>
  <c r="J218" i="8"/>
  <c r="I218" i="8"/>
  <c r="G218" i="8"/>
  <c r="J217" i="8"/>
  <c r="I217" i="8"/>
  <c r="G217" i="8"/>
  <c r="J216" i="8"/>
  <c r="I216" i="8"/>
  <c r="G216" i="8"/>
  <c r="I215" i="8"/>
  <c r="J215" i="8" s="1"/>
  <c r="G215" i="8"/>
  <c r="I214" i="8"/>
  <c r="J214" i="8" s="1"/>
  <c r="G214" i="8"/>
  <c r="I213" i="8"/>
  <c r="J213" i="8" s="1"/>
  <c r="G213" i="8"/>
  <c r="J212" i="8"/>
  <c r="I212" i="8"/>
  <c r="G212" i="8"/>
  <c r="J211" i="8"/>
  <c r="I211" i="8"/>
  <c r="G211" i="8"/>
  <c r="J210" i="8"/>
  <c r="I210" i="8"/>
  <c r="G210" i="8"/>
  <c r="J209" i="8"/>
  <c r="I209" i="8"/>
  <c r="G209" i="8"/>
  <c r="J208" i="8"/>
  <c r="I208" i="8"/>
  <c r="G208" i="8"/>
  <c r="I207" i="8"/>
  <c r="J207" i="8" s="1"/>
  <c r="G207" i="8"/>
  <c r="I206" i="8"/>
  <c r="J206" i="8" s="1"/>
  <c r="G206" i="8"/>
  <c r="I205" i="8"/>
  <c r="J205" i="8" s="1"/>
  <c r="G205" i="8"/>
  <c r="I204" i="8"/>
  <c r="J204" i="8" s="1"/>
  <c r="G204" i="8"/>
  <c r="J203" i="8"/>
  <c r="I203" i="8"/>
  <c r="G203" i="8"/>
  <c r="J202" i="8"/>
  <c r="I202" i="8"/>
  <c r="G202" i="8"/>
  <c r="J201" i="8"/>
  <c r="I201" i="8"/>
  <c r="G201" i="8"/>
  <c r="J200" i="8"/>
  <c r="I200" i="8"/>
  <c r="G200" i="8"/>
  <c r="I199" i="8"/>
  <c r="J199" i="8" s="1"/>
  <c r="G199" i="8"/>
  <c r="I198" i="8"/>
  <c r="J198" i="8" s="1"/>
  <c r="G198" i="8"/>
  <c r="I197" i="8"/>
  <c r="J197" i="8" s="1"/>
  <c r="G197" i="8"/>
  <c r="I196" i="8"/>
  <c r="J196" i="8" s="1"/>
  <c r="G196" i="8"/>
  <c r="J195" i="8"/>
  <c r="I195" i="8"/>
  <c r="G195" i="8"/>
  <c r="J194" i="8"/>
  <c r="I194" i="8"/>
  <c r="G194" i="8"/>
  <c r="J193" i="8"/>
  <c r="I193" i="8"/>
  <c r="G193" i="8"/>
  <c r="J192" i="8"/>
  <c r="I192" i="8"/>
  <c r="G192" i="8"/>
  <c r="I191" i="8"/>
  <c r="J191" i="8" s="1"/>
  <c r="G191" i="8"/>
  <c r="I190" i="8"/>
  <c r="J190" i="8" s="1"/>
  <c r="G190" i="8"/>
  <c r="I189" i="8"/>
  <c r="J189" i="8" s="1"/>
  <c r="G189" i="8"/>
  <c r="I188" i="8"/>
  <c r="J188" i="8" s="1"/>
  <c r="G188" i="8"/>
  <c r="J187" i="8"/>
  <c r="I187" i="8"/>
  <c r="G187" i="8"/>
  <c r="J186" i="8"/>
  <c r="I186" i="8"/>
  <c r="G186" i="8"/>
  <c r="J185" i="8"/>
  <c r="I185" i="8"/>
  <c r="G185" i="8"/>
  <c r="J184" i="8"/>
  <c r="I184" i="8"/>
  <c r="G184" i="8"/>
  <c r="I183" i="8"/>
  <c r="J183" i="8" s="1"/>
  <c r="G183" i="8"/>
  <c r="I182" i="8"/>
  <c r="J182" i="8" s="1"/>
  <c r="G182" i="8"/>
  <c r="J181" i="8"/>
  <c r="I181" i="8"/>
  <c r="G181" i="8"/>
  <c r="I180" i="8"/>
  <c r="J180" i="8" s="1"/>
  <c r="G180" i="8"/>
  <c r="J179" i="8"/>
  <c r="I179" i="8"/>
  <c r="G179" i="8"/>
  <c r="J178" i="8"/>
  <c r="I178" i="8"/>
  <c r="G178" i="8"/>
  <c r="J177" i="8"/>
  <c r="I177" i="8"/>
  <c r="G177" i="8"/>
  <c r="J176" i="8"/>
  <c r="I176" i="8"/>
  <c r="G176" i="8"/>
  <c r="I175" i="8"/>
  <c r="J175" i="8" s="1"/>
  <c r="G175" i="8"/>
  <c r="I174" i="8"/>
  <c r="J174" i="8" s="1"/>
  <c r="G174" i="8"/>
  <c r="J173" i="8"/>
  <c r="I173" i="8"/>
  <c r="G173" i="8"/>
  <c r="J172" i="8"/>
  <c r="I172" i="8"/>
  <c r="G172" i="8"/>
  <c r="J171" i="8"/>
  <c r="I171" i="8"/>
  <c r="G171" i="8"/>
  <c r="J170" i="8"/>
  <c r="I170" i="8"/>
  <c r="G170" i="8"/>
  <c r="J169" i="8"/>
  <c r="I169" i="8"/>
  <c r="G169" i="8"/>
  <c r="J168" i="8"/>
  <c r="I168" i="8"/>
  <c r="G168" i="8"/>
  <c r="I167" i="8"/>
  <c r="J167" i="8" s="1"/>
  <c r="G167" i="8"/>
  <c r="I166" i="8"/>
  <c r="J166" i="8" s="1"/>
  <c r="G166" i="8"/>
  <c r="J165" i="8"/>
  <c r="I165" i="8"/>
  <c r="G165" i="8"/>
  <c r="I164" i="8"/>
  <c r="J164" i="8" s="1"/>
  <c r="G164" i="8"/>
  <c r="J163" i="8"/>
  <c r="I163" i="8"/>
  <c r="G163" i="8"/>
  <c r="J162" i="8"/>
  <c r="I162" i="8"/>
  <c r="G162" i="8"/>
  <c r="J161" i="8"/>
  <c r="I161" i="8"/>
  <c r="G161" i="8"/>
  <c r="J160" i="8"/>
  <c r="I160" i="8"/>
  <c r="G160" i="8"/>
  <c r="I159" i="8"/>
  <c r="J159" i="8" s="1"/>
  <c r="G159" i="8"/>
  <c r="I158" i="8"/>
  <c r="J158" i="8" s="1"/>
  <c r="G158" i="8"/>
  <c r="J157" i="8"/>
  <c r="I157" i="8"/>
  <c r="G157" i="8"/>
  <c r="I156" i="8"/>
  <c r="J156" i="8" s="1"/>
  <c r="G156" i="8"/>
  <c r="J155" i="8"/>
  <c r="I155" i="8"/>
  <c r="G155" i="8"/>
  <c r="J154" i="8"/>
  <c r="I154" i="8"/>
  <c r="G154" i="8"/>
  <c r="J153" i="8"/>
  <c r="I153" i="8"/>
  <c r="G153" i="8"/>
  <c r="J152" i="8"/>
  <c r="I152" i="8"/>
  <c r="G152" i="8"/>
  <c r="I151" i="8"/>
  <c r="J151" i="8" s="1"/>
  <c r="G151" i="8"/>
  <c r="J150" i="8"/>
  <c r="I150" i="8"/>
  <c r="G150" i="8"/>
  <c r="J149" i="8"/>
  <c r="I149" i="8"/>
  <c r="G149" i="8"/>
  <c r="J148" i="8"/>
  <c r="I148" i="8"/>
  <c r="G148" i="8"/>
  <c r="J147" i="8"/>
  <c r="I147" i="8"/>
  <c r="G147" i="8"/>
  <c r="J146" i="8"/>
  <c r="I146" i="8"/>
  <c r="G146" i="8"/>
  <c r="J145" i="8"/>
  <c r="I145" i="8"/>
  <c r="G145" i="8"/>
  <c r="J144" i="8"/>
  <c r="I144" i="8"/>
  <c r="G144" i="8"/>
  <c r="I143" i="8"/>
  <c r="J143" i="8" s="1"/>
  <c r="G143" i="8"/>
  <c r="J142" i="8"/>
  <c r="I142" i="8"/>
  <c r="G142" i="8"/>
  <c r="J141" i="8"/>
  <c r="I141" i="8"/>
  <c r="G141" i="8"/>
  <c r="I140" i="8"/>
  <c r="J140" i="8" s="1"/>
  <c r="G140" i="8"/>
  <c r="J139" i="8"/>
  <c r="I139" i="8"/>
  <c r="G139" i="8"/>
  <c r="J138" i="8"/>
  <c r="I138" i="8"/>
  <c r="G138" i="8"/>
  <c r="J137" i="8"/>
  <c r="I137" i="8"/>
  <c r="G137" i="8"/>
  <c r="J136" i="8"/>
  <c r="I136" i="8"/>
  <c r="G136" i="8"/>
  <c r="I135" i="8"/>
  <c r="J135" i="8" s="1"/>
  <c r="G135" i="8"/>
  <c r="J134" i="8"/>
  <c r="I134" i="8"/>
  <c r="G134" i="8"/>
  <c r="J133" i="8"/>
  <c r="I133" i="8"/>
  <c r="G133" i="8"/>
  <c r="J132" i="8"/>
  <c r="I132" i="8"/>
  <c r="G132" i="8"/>
  <c r="J131" i="8"/>
  <c r="I131" i="8"/>
  <c r="G131" i="8"/>
  <c r="J130" i="8"/>
  <c r="I130" i="8"/>
  <c r="G130" i="8"/>
  <c r="J129" i="8"/>
  <c r="I129" i="8"/>
  <c r="G129" i="8"/>
  <c r="J128" i="8"/>
  <c r="I128" i="8"/>
  <c r="G128" i="8"/>
  <c r="I127" i="8"/>
  <c r="J127" i="8" s="1"/>
  <c r="G127" i="8"/>
  <c r="I126" i="8"/>
  <c r="J126" i="8" s="1"/>
  <c r="G126" i="8"/>
  <c r="J125" i="8"/>
  <c r="I125" i="8"/>
  <c r="G125" i="8"/>
  <c r="I124" i="8"/>
  <c r="J124" i="8" s="1"/>
  <c r="G124" i="8"/>
  <c r="J123" i="8"/>
  <c r="I123" i="8"/>
  <c r="G123" i="8"/>
  <c r="J122" i="8"/>
  <c r="I122" i="8"/>
  <c r="G122" i="8"/>
  <c r="J121" i="8"/>
  <c r="I121" i="8"/>
  <c r="G121" i="8"/>
  <c r="I120" i="8"/>
  <c r="J120" i="8" s="1"/>
  <c r="G120" i="8"/>
  <c r="I119" i="8"/>
  <c r="J119" i="8" s="1"/>
  <c r="G119" i="8"/>
  <c r="J118" i="8"/>
  <c r="I118" i="8"/>
  <c r="G118" i="8"/>
  <c r="J117" i="8"/>
  <c r="I117" i="8"/>
  <c r="G117" i="8"/>
  <c r="J116" i="8"/>
  <c r="I116" i="8"/>
  <c r="G116" i="8"/>
  <c r="J115" i="8"/>
  <c r="I115" i="8"/>
  <c r="G115" i="8"/>
  <c r="J114" i="8"/>
  <c r="I114" i="8"/>
  <c r="G114" i="8"/>
  <c r="J113" i="8"/>
  <c r="I113" i="8"/>
  <c r="G113" i="8"/>
  <c r="I112" i="8"/>
  <c r="J112" i="8" s="1"/>
  <c r="G112" i="8"/>
  <c r="I111" i="8"/>
  <c r="J111" i="8" s="1"/>
  <c r="G111" i="8"/>
  <c r="J110" i="8"/>
  <c r="I110" i="8"/>
  <c r="G110" i="8"/>
  <c r="J109" i="8"/>
  <c r="I109" i="8"/>
  <c r="G109" i="8"/>
  <c r="J108" i="8"/>
  <c r="I108" i="8"/>
  <c r="G108" i="8"/>
  <c r="I107" i="8"/>
  <c r="J107" i="8" s="1"/>
  <c r="G107" i="8"/>
  <c r="J106" i="8"/>
  <c r="I106" i="8"/>
  <c r="G106" i="8"/>
  <c r="J105" i="8"/>
  <c r="I105" i="8"/>
  <c r="G105" i="8"/>
  <c r="I104" i="8"/>
  <c r="J104" i="8" s="1"/>
  <c r="G104" i="8"/>
  <c r="I103" i="8"/>
  <c r="J103" i="8" s="1"/>
  <c r="G103" i="8"/>
  <c r="I102" i="8"/>
  <c r="J102" i="8" s="1"/>
  <c r="G102" i="8"/>
  <c r="J101" i="8"/>
  <c r="I101" i="8"/>
  <c r="G101" i="8"/>
  <c r="I100" i="8"/>
  <c r="J100" i="8" s="1"/>
  <c r="G100" i="8"/>
  <c r="I99" i="8"/>
  <c r="J99" i="8" s="1"/>
  <c r="G99" i="8"/>
  <c r="J98" i="8"/>
  <c r="I98" i="8"/>
  <c r="G98" i="8"/>
  <c r="J97" i="8"/>
  <c r="I97" i="8"/>
  <c r="G97" i="8"/>
  <c r="J96" i="8"/>
  <c r="I96" i="8"/>
  <c r="G96" i="8"/>
  <c r="I95" i="8"/>
  <c r="J95" i="8" s="1"/>
  <c r="G95" i="8"/>
  <c r="J94" i="8"/>
  <c r="I94" i="8"/>
  <c r="G94" i="8"/>
  <c r="J93" i="8"/>
  <c r="I93" i="8"/>
  <c r="G93" i="8"/>
  <c r="J92" i="8"/>
  <c r="I92" i="8"/>
  <c r="G92" i="8"/>
  <c r="I91" i="8"/>
  <c r="J91" i="8" s="1"/>
  <c r="G91" i="8"/>
  <c r="J90" i="8"/>
  <c r="I90" i="8"/>
  <c r="G90" i="8"/>
  <c r="J89" i="8"/>
  <c r="I89" i="8"/>
  <c r="G89" i="8"/>
  <c r="J88" i="8"/>
  <c r="I88" i="8"/>
  <c r="G88" i="8"/>
  <c r="I87" i="8"/>
  <c r="J87" i="8" s="1"/>
  <c r="G87" i="8"/>
  <c r="J86" i="8"/>
  <c r="I86" i="8"/>
  <c r="G86" i="8"/>
  <c r="J85" i="8"/>
  <c r="I85" i="8"/>
  <c r="G85" i="8"/>
  <c r="J84" i="8"/>
  <c r="I84" i="8"/>
  <c r="G84" i="8"/>
  <c r="I83" i="8"/>
  <c r="J83" i="8" s="1"/>
  <c r="G83" i="8"/>
  <c r="J82" i="8"/>
  <c r="I82" i="8"/>
  <c r="G82" i="8"/>
  <c r="J81" i="8"/>
  <c r="I81" i="8"/>
  <c r="G81" i="8"/>
  <c r="I80" i="8"/>
  <c r="J80" i="8" s="1"/>
  <c r="G80" i="8"/>
  <c r="I79" i="8"/>
  <c r="J79" i="8" s="1"/>
  <c r="G79" i="8"/>
  <c r="J78" i="8"/>
  <c r="I78" i="8"/>
  <c r="G78" i="8"/>
  <c r="J77" i="8"/>
  <c r="I77" i="8"/>
  <c r="G77" i="8"/>
  <c r="J76" i="8"/>
  <c r="I76" i="8"/>
  <c r="G76" i="8"/>
  <c r="I75" i="8"/>
  <c r="J75" i="8" s="1"/>
  <c r="G75" i="8"/>
  <c r="J74" i="8"/>
  <c r="I74" i="8"/>
  <c r="G74" i="8"/>
  <c r="J73" i="8"/>
  <c r="I73" i="8"/>
  <c r="G73" i="8"/>
  <c r="I72" i="8"/>
  <c r="J72" i="8" s="1"/>
  <c r="G72" i="8"/>
  <c r="I71" i="8"/>
  <c r="J71" i="8" s="1"/>
  <c r="G71" i="8"/>
  <c r="J70" i="8"/>
  <c r="I70" i="8"/>
  <c r="G70" i="8"/>
  <c r="J69" i="8"/>
  <c r="I69" i="8"/>
  <c r="G69" i="8"/>
  <c r="J68" i="8"/>
  <c r="I68" i="8"/>
  <c r="G68" i="8"/>
  <c r="I67" i="8"/>
  <c r="J67" i="8" s="1"/>
  <c r="G67" i="8"/>
  <c r="J66" i="8"/>
  <c r="I66" i="8"/>
  <c r="G66" i="8"/>
  <c r="J65" i="8"/>
  <c r="I65" i="8"/>
  <c r="G65" i="8"/>
  <c r="J64" i="8"/>
  <c r="I64" i="8"/>
  <c r="G64" i="8"/>
  <c r="I63" i="8"/>
  <c r="J63" i="8" s="1"/>
  <c r="G63" i="8"/>
  <c r="J62" i="8"/>
  <c r="I62" i="8"/>
  <c r="G62" i="8"/>
  <c r="J61" i="8"/>
  <c r="I61" i="8"/>
  <c r="G61" i="8"/>
  <c r="J60" i="8"/>
  <c r="I60" i="8"/>
  <c r="G60" i="8"/>
  <c r="I59" i="8"/>
  <c r="J59" i="8" s="1"/>
  <c r="G59" i="8"/>
  <c r="J58" i="8"/>
  <c r="I58" i="8"/>
  <c r="G58" i="8"/>
  <c r="J57" i="8"/>
  <c r="I57" i="8"/>
  <c r="G57" i="8"/>
  <c r="J56" i="8"/>
  <c r="I56" i="8"/>
  <c r="G56" i="8"/>
  <c r="I55" i="8"/>
  <c r="J55" i="8" s="1"/>
  <c r="G55" i="8"/>
  <c r="J54" i="8"/>
  <c r="I54" i="8"/>
  <c r="G54" i="8"/>
  <c r="J53" i="8"/>
  <c r="I53" i="8"/>
  <c r="G53" i="8"/>
  <c r="J52" i="8"/>
  <c r="I52" i="8"/>
  <c r="G52" i="8"/>
  <c r="I51" i="8"/>
  <c r="J51" i="8" s="1"/>
  <c r="G51" i="8"/>
  <c r="J50" i="8"/>
  <c r="I50" i="8"/>
  <c r="G50" i="8"/>
  <c r="J49" i="8"/>
  <c r="I49" i="8"/>
  <c r="G49" i="8"/>
  <c r="J48" i="8"/>
  <c r="I48" i="8"/>
  <c r="G48" i="8"/>
  <c r="I47" i="8"/>
  <c r="J47" i="8" s="1"/>
  <c r="G47" i="8"/>
  <c r="J46" i="8"/>
  <c r="I46" i="8"/>
  <c r="G46" i="8"/>
  <c r="J45" i="8"/>
  <c r="I45" i="8"/>
  <c r="G45" i="8"/>
  <c r="I44" i="8"/>
  <c r="J44" i="8" s="1"/>
  <c r="G44" i="8"/>
  <c r="I43" i="8"/>
  <c r="J43" i="8" s="1"/>
  <c r="G43" i="8"/>
  <c r="J42" i="8"/>
  <c r="I42" i="8"/>
  <c r="G42" i="8"/>
  <c r="J41" i="8"/>
  <c r="I41" i="8"/>
  <c r="G41" i="8"/>
  <c r="I40" i="8"/>
  <c r="J40" i="8" s="1"/>
  <c r="G40" i="8"/>
  <c r="I39" i="8"/>
  <c r="J39" i="8" s="1"/>
  <c r="G39" i="8"/>
  <c r="J38" i="8"/>
  <c r="I38" i="8"/>
  <c r="G38" i="8"/>
  <c r="J37" i="8"/>
  <c r="I37" i="8"/>
  <c r="G37" i="8"/>
  <c r="I36" i="8"/>
  <c r="J36" i="8" s="1"/>
  <c r="G36" i="8"/>
  <c r="I35" i="8"/>
  <c r="J35" i="8" s="1"/>
  <c r="G35" i="8"/>
  <c r="J34" i="8"/>
  <c r="I34" i="8"/>
  <c r="G34" i="8"/>
  <c r="J33" i="8"/>
  <c r="I33" i="8"/>
  <c r="G33" i="8"/>
  <c r="I32" i="8"/>
  <c r="J32" i="8" s="1"/>
  <c r="G32" i="8"/>
  <c r="I31" i="8"/>
  <c r="J31" i="8" s="1"/>
  <c r="G31" i="8"/>
  <c r="J30" i="8"/>
  <c r="I30" i="8"/>
  <c r="G30" i="8"/>
  <c r="J29" i="8"/>
  <c r="I29" i="8"/>
  <c r="G29" i="8"/>
  <c r="J28" i="8"/>
  <c r="I28" i="8"/>
  <c r="G28" i="8"/>
  <c r="I27" i="8"/>
  <c r="J27" i="8" s="1"/>
  <c r="G27" i="8"/>
  <c r="J26" i="8"/>
  <c r="I26" i="8"/>
  <c r="G26" i="8"/>
  <c r="J25" i="8"/>
  <c r="I25" i="8"/>
  <c r="G25" i="8"/>
  <c r="I24" i="8"/>
  <c r="J24" i="8" s="1"/>
  <c r="G24" i="8"/>
  <c r="I23" i="8"/>
  <c r="J23" i="8" s="1"/>
  <c r="G23" i="8"/>
  <c r="J22" i="8"/>
  <c r="I22" i="8"/>
  <c r="G22" i="8"/>
  <c r="J21" i="8"/>
  <c r="I21" i="8"/>
  <c r="G21" i="8"/>
  <c r="I20" i="8"/>
  <c r="J20" i="8" s="1"/>
  <c r="G20" i="8"/>
  <c r="I19" i="8"/>
  <c r="J19" i="8" s="1"/>
  <c r="G19" i="8"/>
  <c r="J18" i="8"/>
  <c r="I18" i="8"/>
  <c r="G18" i="8"/>
  <c r="J17" i="8"/>
  <c r="I17" i="8"/>
  <c r="G17" i="8"/>
  <c r="I16" i="8"/>
  <c r="J16" i="8" s="1"/>
  <c r="G16" i="8"/>
  <c r="I15" i="8"/>
  <c r="J15" i="8" s="1"/>
  <c r="G15" i="8"/>
  <c r="J14" i="8"/>
  <c r="I14" i="8"/>
  <c r="G14" i="8"/>
  <c r="J13" i="8"/>
  <c r="I13" i="8"/>
  <c r="G13" i="8"/>
  <c r="J12" i="8"/>
  <c r="I12" i="8"/>
  <c r="G12" i="8"/>
  <c r="I11" i="8"/>
  <c r="J11" i="8" s="1"/>
  <c r="G11" i="8"/>
  <c r="J10" i="8"/>
  <c r="I10" i="8"/>
  <c r="G10" i="8"/>
  <c r="J9" i="8"/>
  <c r="I9" i="8"/>
  <c r="G9" i="8"/>
  <c r="I8" i="8"/>
  <c r="J8" i="8" s="1"/>
  <c r="G8" i="8"/>
  <c r="I7" i="8"/>
  <c r="J7" i="8" s="1"/>
  <c r="G7" i="8"/>
  <c r="J6" i="8"/>
  <c r="I6" i="8"/>
  <c r="G6" i="8"/>
  <c r="J5" i="8"/>
  <c r="I5" i="8"/>
  <c r="G5" i="8"/>
  <c r="J4" i="8"/>
  <c r="I4" i="8"/>
  <c r="G4" i="8" s="1"/>
  <c r="J3" i="8"/>
  <c r="I3" i="8"/>
  <c r="I221" i="8" s="1"/>
  <c r="G3" i="8"/>
  <c r="J215" i="7"/>
  <c r="I215" i="7"/>
  <c r="G215" i="7"/>
  <c r="J214" i="7"/>
  <c r="I214" i="7"/>
  <c r="G214" i="7"/>
  <c r="I213" i="7"/>
  <c r="J213" i="7" s="1"/>
  <c r="G213" i="7"/>
  <c r="J212" i="7"/>
  <c r="I212" i="7"/>
  <c r="G212" i="7"/>
  <c r="I211" i="7"/>
  <c r="J211" i="7" s="1"/>
  <c r="G211" i="7"/>
  <c r="J210" i="7"/>
  <c r="I210" i="7"/>
  <c r="G210" i="7"/>
  <c r="I209" i="7"/>
  <c r="J209" i="7" s="1"/>
  <c r="G209" i="7"/>
  <c r="I208" i="7"/>
  <c r="J208" i="7" s="1"/>
  <c r="G208" i="7"/>
  <c r="J207" i="7"/>
  <c r="I207" i="7"/>
  <c r="G207" i="7"/>
  <c r="J206" i="7"/>
  <c r="I206" i="7"/>
  <c r="G206" i="7"/>
  <c r="I205" i="7"/>
  <c r="J205" i="7" s="1"/>
  <c r="G205" i="7"/>
  <c r="J204" i="7"/>
  <c r="I204" i="7"/>
  <c r="G204" i="7"/>
  <c r="I203" i="7"/>
  <c r="J203" i="7" s="1"/>
  <c r="G203" i="7"/>
  <c r="J202" i="7"/>
  <c r="I202" i="7"/>
  <c r="G202" i="7"/>
  <c r="I201" i="7"/>
  <c r="J201" i="7" s="1"/>
  <c r="G201" i="7"/>
  <c r="I200" i="7"/>
  <c r="J200" i="7" s="1"/>
  <c r="G200" i="7"/>
  <c r="J199" i="7"/>
  <c r="I199" i="7"/>
  <c r="G199" i="7"/>
  <c r="J198" i="7"/>
  <c r="I198" i="7"/>
  <c r="G198" i="7"/>
  <c r="I197" i="7"/>
  <c r="J197" i="7" s="1"/>
  <c r="G197" i="7"/>
  <c r="J196" i="7"/>
  <c r="I196" i="7"/>
  <c r="G196" i="7"/>
  <c r="I195" i="7"/>
  <c r="J195" i="7" s="1"/>
  <c r="G195" i="7"/>
  <c r="J194" i="7"/>
  <c r="I194" i="7"/>
  <c r="G194" i="7"/>
  <c r="I193" i="7"/>
  <c r="J193" i="7" s="1"/>
  <c r="G193" i="7"/>
  <c r="I192" i="7"/>
  <c r="J192" i="7" s="1"/>
  <c r="G192" i="7"/>
  <c r="J191" i="7"/>
  <c r="I191" i="7"/>
  <c r="G191" i="7"/>
  <c r="J190" i="7"/>
  <c r="I190" i="7"/>
  <c r="G190" i="7"/>
  <c r="I189" i="7"/>
  <c r="J189" i="7" s="1"/>
  <c r="G189" i="7"/>
  <c r="J188" i="7"/>
  <c r="I188" i="7"/>
  <c r="G188" i="7"/>
  <c r="I187" i="7"/>
  <c r="J187" i="7" s="1"/>
  <c r="G187" i="7"/>
  <c r="J186" i="7"/>
  <c r="I186" i="7"/>
  <c r="G186" i="7"/>
  <c r="I185" i="7"/>
  <c r="J185" i="7" s="1"/>
  <c r="G185" i="7"/>
  <c r="I184" i="7"/>
  <c r="J184" i="7" s="1"/>
  <c r="J183" i="7"/>
  <c r="I183" i="7"/>
  <c r="G183" i="7" s="1"/>
  <c r="J182" i="7"/>
  <c r="I182" i="7"/>
  <c r="G182" i="7"/>
  <c r="J181" i="7"/>
  <c r="I181" i="7"/>
  <c r="G181" i="7"/>
  <c r="J180" i="7"/>
  <c r="I180" i="7"/>
  <c r="G180" i="7"/>
  <c r="I179" i="7"/>
  <c r="J179" i="7" s="1"/>
  <c r="G179" i="7"/>
  <c r="J178" i="7"/>
  <c r="I178" i="7"/>
  <c r="G178" i="7" s="1"/>
  <c r="I177" i="7"/>
  <c r="J177" i="7" s="1"/>
  <c r="I176" i="7"/>
  <c r="J176" i="7" s="1"/>
  <c r="J175" i="7"/>
  <c r="I175" i="7"/>
  <c r="G175" i="7"/>
  <c r="J174" i="7"/>
  <c r="I174" i="7"/>
  <c r="G174" i="7"/>
  <c r="J173" i="7"/>
  <c r="I173" i="7"/>
  <c r="G173" i="7" s="1"/>
  <c r="I172" i="7"/>
  <c r="J172" i="7" s="1"/>
  <c r="G172" i="7"/>
  <c r="I171" i="7"/>
  <c r="J171" i="7" s="1"/>
  <c r="G171" i="7"/>
  <c r="J170" i="7"/>
  <c r="I170" i="7"/>
  <c r="G170" i="7" s="1"/>
  <c r="I169" i="7"/>
  <c r="J169" i="7" s="1"/>
  <c r="I168" i="7"/>
  <c r="J168" i="7" s="1"/>
  <c r="G168" i="7"/>
  <c r="J167" i="7"/>
  <c r="I167" i="7"/>
  <c r="G167" i="7"/>
  <c r="J166" i="7"/>
  <c r="I166" i="7"/>
  <c r="G166" i="7"/>
  <c r="J165" i="7"/>
  <c r="I165" i="7"/>
  <c r="G165" i="7" s="1"/>
  <c r="I164" i="7"/>
  <c r="J164" i="7" s="1"/>
  <c r="G164" i="7"/>
  <c r="I163" i="7"/>
  <c r="J163" i="7" s="1"/>
  <c r="G163" i="7"/>
  <c r="J162" i="7"/>
  <c r="I162" i="7"/>
  <c r="G162" i="7" s="1"/>
  <c r="I161" i="7"/>
  <c r="J161" i="7" s="1"/>
  <c r="I160" i="7"/>
  <c r="J160" i="7" s="1"/>
  <c r="J159" i="7"/>
  <c r="I159" i="7"/>
  <c r="G159" i="7"/>
  <c r="J158" i="7"/>
  <c r="I158" i="7"/>
  <c r="G158" i="7"/>
  <c r="J157" i="7"/>
  <c r="I157" i="7"/>
  <c r="G157" i="7" s="1"/>
  <c r="I156" i="7"/>
  <c r="J156" i="7" s="1"/>
  <c r="G156" i="7"/>
  <c r="I155" i="7"/>
  <c r="J155" i="7" s="1"/>
  <c r="G155" i="7"/>
  <c r="J154" i="7"/>
  <c r="I154" i="7"/>
  <c r="G154" i="7" s="1"/>
  <c r="I153" i="7"/>
  <c r="J153" i="7" s="1"/>
  <c r="I152" i="7"/>
  <c r="J152" i="7" s="1"/>
  <c r="J151" i="7"/>
  <c r="I151" i="7"/>
  <c r="G151" i="7"/>
  <c r="J150" i="7"/>
  <c r="I150" i="7"/>
  <c r="G150" i="7"/>
  <c r="J149" i="7"/>
  <c r="I149" i="7"/>
  <c r="G149" i="7" s="1"/>
  <c r="I148" i="7"/>
  <c r="J148" i="7" s="1"/>
  <c r="G148" i="7"/>
  <c r="I147" i="7"/>
  <c r="J147" i="7" s="1"/>
  <c r="G147" i="7"/>
  <c r="J146" i="7"/>
  <c r="I146" i="7"/>
  <c r="G146" i="7"/>
  <c r="I145" i="7"/>
  <c r="J145" i="7" s="1"/>
  <c r="I144" i="7"/>
  <c r="J144" i="7" s="1"/>
  <c r="J143" i="7"/>
  <c r="I143" i="7"/>
  <c r="G143" i="7"/>
  <c r="J142" i="7"/>
  <c r="I142" i="7"/>
  <c r="G142" i="7"/>
  <c r="J141" i="7"/>
  <c r="I141" i="7"/>
  <c r="G141" i="7" s="1"/>
  <c r="I140" i="7"/>
  <c r="J140" i="7" s="1"/>
  <c r="G140" i="7"/>
  <c r="I139" i="7"/>
  <c r="J139" i="7" s="1"/>
  <c r="G139" i="7"/>
  <c r="J138" i="7"/>
  <c r="I138" i="7"/>
  <c r="G138" i="7" s="1"/>
  <c r="I137" i="7"/>
  <c r="J137" i="7" s="1"/>
  <c r="I136" i="7"/>
  <c r="J136" i="7" s="1"/>
  <c r="J135" i="7"/>
  <c r="I135" i="7"/>
  <c r="G135" i="7"/>
  <c r="J134" i="7"/>
  <c r="I134" i="7"/>
  <c r="G134" i="7"/>
  <c r="J133" i="7"/>
  <c r="I133" i="7"/>
  <c r="G133" i="7" s="1"/>
  <c r="I132" i="7"/>
  <c r="J132" i="7" s="1"/>
  <c r="G132" i="7"/>
  <c r="I131" i="7"/>
  <c r="J131" i="7" s="1"/>
  <c r="G131" i="7"/>
  <c r="J130" i="7"/>
  <c r="I130" i="7"/>
  <c r="G130" i="7" s="1"/>
  <c r="I129" i="7"/>
  <c r="J129" i="7" s="1"/>
  <c r="I128" i="7"/>
  <c r="J128" i="7" s="1"/>
  <c r="G128" i="7"/>
  <c r="F127" i="7"/>
  <c r="I127" i="7" s="1"/>
  <c r="J127" i="7" s="1"/>
  <c r="G126" i="7"/>
  <c r="F126" i="7"/>
  <c r="I126" i="7" s="1"/>
  <c r="J126" i="7" s="1"/>
  <c r="J125" i="7"/>
  <c r="I125" i="7"/>
  <c r="G125" i="7"/>
  <c r="J124" i="7"/>
  <c r="I124" i="7"/>
  <c r="G124" i="7"/>
  <c r="I123" i="7"/>
  <c r="J123" i="7" s="1"/>
  <c r="G123" i="7"/>
  <c r="I122" i="7"/>
  <c r="J122" i="7" s="1"/>
  <c r="G122" i="7"/>
  <c r="I121" i="7"/>
  <c r="J121" i="7" s="1"/>
  <c r="G121" i="7"/>
  <c r="J120" i="7"/>
  <c r="I120" i="7"/>
  <c r="G120" i="7"/>
  <c r="I119" i="7"/>
  <c r="J119" i="7" s="1"/>
  <c r="G119" i="7"/>
  <c r="I118" i="7"/>
  <c r="J118" i="7" s="1"/>
  <c r="G118" i="7"/>
  <c r="J117" i="7"/>
  <c r="I117" i="7"/>
  <c r="G117" i="7"/>
  <c r="J116" i="7"/>
  <c r="I116" i="7"/>
  <c r="G116" i="7"/>
  <c r="J115" i="7"/>
  <c r="I115" i="7"/>
  <c r="G115" i="7"/>
  <c r="I114" i="7"/>
  <c r="J114" i="7" s="1"/>
  <c r="G114" i="7"/>
  <c r="I113" i="7"/>
  <c r="J113" i="7" s="1"/>
  <c r="G113" i="7"/>
  <c r="J112" i="7"/>
  <c r="I112" i="7"/>
  <c r="G112" i="7"/>
  <c r="I111" i="7"/>
  <c r="J111" i="7" s="1"/>
  <c r="G111" i="7"/>
  <c r="I110" i="7"/>
  <c r="J110" i="7" s="1"/>
  <c r="G110" i="7"/>
  <c r="J109" i="7"/>
  <c r="I109" i="7"/>
  <c r="G109" i="7"/>
  <c r="J108" i="7"/>
  <c r="I108" i="7"/>
  <c r="G108" i="7"/>
  <c r="J107" i="7"/>
  <c r="I107" i="7"/>
  <c r="G107" i="7"/>
  <c r="I106" i="7"/>
  <c r="J106" i="7" s="1"/>
  <c r="G106" i="7"/>
  <c r="I105" i="7"/>
  <c r="J105" i="7" s="1"/>
  <c r="G105" i="7"/>
  <c r="J104" i="7"/>
  <c r="I104" i="7"/>
  <c r="G104" i="7"/>
  <c r="I103" i="7"/>
  <c r="J103" i="7" s="1"/>
  <c r="G103" i="7"/>
  <c r="I102" i="7"/>
  <c r="J102" i="7" s="1"/>
  <c r="G102" i="7"/>
  <c r="J101" i="7"/>
  <c r="I101" i="7"/>
  <c r="G101" i="7"/>
  <c r="J100" i="7"/>
  <c r="I100" i="7"/>
  <c r="G100" i="7"/>
  <c r="J99" i="7"/>
  <c r="I99" i="7"/>
  <c r="G99" i="7"/>
  <c r="I98" i="7"/>
  <c r="J98" i="7" s="1"/>
  <c r="G98" i="7"/>
  <c r="I97" i="7"/>
  <c r="J97" i="7" s="1"/>
  <c r="G97" i="7"/>
  <c r="J96" i="7"/>
  <c r="I96" i="7"/>
  <c r="G96" i="7"/>
  <c r="I95" i="7"/>
  <c r="J95" i="7" s="1"/>
  <c r="G95" i="7"/>
  <c r="I94" i="7"/>
  <c r="J94" i="7" s="1"/>
  <c r="G94" i="7"/>
  <c r="J93" i="7"/>
  <c r="I93" i="7"/>
  <c r="G93" i="7"/>
  <c r="J92" i="7"/>
  <c r="I92" i="7"/>
  <c r="G92" i="7"/>
  <c r="J91" i="7"/>
  <c r="I91" i="7"/>
  <c r="G91" i="7"/>
  <c r="I90" i="7"/>
  <c r="J90" i="7" s="1"/>
  <c r="G90" i="7"/>
  <c r="I89" i="7"/>
  <c r="J89" i="7" s="1"/>
  <c r="G89" i="7"/>
  <c r="J88" i="7"/>
  <c r="I88" i="7"/>
  <c r="G88" i="7" s="1"/>
  <c r="I87" i="7"/>
  <c r="J87" i="7" s="1"/>
  <c r="I86" i="7"/>
  <c r="J86" i="7" s="1"/>
  <c r="G86" i="7"/>
  <c r="J85" i="7"/>
  <c r="I85" i="7"/>
  <c r="G85" i="7"/>
  <c r="J84" i="7"/>
  <c r="I84" i="7"/>
  <c r="G84" i="7"/>
  <c r="I83" i="7"/>
  <c r="G83" i="7" s="1"/>
  <c r="I82" i="7"/>
  <c r="J82" i="7" s="1"/>
  <c r="G82" i="7"/>
  <c r="I81" i="7"/>
  <c r="J81" i="7" s="1"/>
  <c r="G81" i="7"/>
  <c r="J80" i="7"/>
  <c r="I80" i="7"/>
  <c r="G80" i="7" s="1"/>
  <c r="I79" i="7"/>
  <c r="J79" i="7" s="1"/>
  <c r="I78" i="7"/>
  <c r="J78" i="7" s="1"/>
  <c r="J77" i="7"/>
  <c r="I77" i="7"/>
  <c r="G77" i="7"/>
  <c r="J76" i="7"/>
  <c r="I76" i="7"/>
  <c r="G76" i="7"/>
  <c r="J75" i="7"/>
  <c r="I75" i="7"/>
  <c r="G75" i="7" s="1"/>
  <c r="I74" i="7"/>
  <c r="J74" i="7" s="1"/>
  <c r="G74" i="7"/>
  <c r="I73" i="7"/>
  <c r="J73" i="7" s="1"/>
  <c r="G73" i="7"/>
  <c r="J72" i="7"/>
  <c r="I72" i="7"/>
  <c r="G72" i="7" s="1"/>
  <c r="I71" i="7"/>
  <c r="J71" i="7" s="1"/>
  <c r="I70" i="7"/>
  <c r="J70" i="7" s="1"/>
  <c r="J69" i="7"/>
  <c r="I69" i="7"/>
  <c r="G69" i="7"/>
  <c r="J68" i="7"/>
  <c r="I68" i="7"/>
  <c r="G68" i="7"/>
  <c r="J67" i="7"/>
  <c r="I67" i="7"/>
  <c r="G67" i="7"/>
  <c r="I66" i="7"/>
  <c r="J66" i="7" s="1"/>
  <c r="G66" i="7"/>
  <c r="I65" i="7"/>
  <c r="J65" i="7" s="1"/>
  <c r="G65" i="7"/>
  <c r="J64" i="7"/>
  <c r="I64" i="7"/>
  <c r="G64" i="7"/>
  <c r="I63" i="7"/>
  <c r="J63" i="7" s="1"/>
  <c r="G63" i="7"/>
  <c r="I62" i="7"/>
  <c r="J62" i="7" s="1"/>
  <c r="G62" i="7"/>
  <c r="J61" i="7"/>
  <c r="I61" i="7"/>
  <c r="G61" i="7"/>
  <c r="J60" i="7"/>
  <c r="I60" i="7"/>
  <c r="G60" i="7"/>
  <c r="I59" i="7"/>
  <c r="J59" i="7" s="1"/>
  <c r="G59" i="7"/>
  <c r="I58" i="7"/>
  <c r="J58" i="7" s="1"/>
  <c r="G58" i="7"/>
  <c r="I57" i="7"/>
  <c r="J57" i="7" s="1"/>
  <c r="G57" i="7"/>
  <c r="J56" i="7"/>
  <c r="I56" i="7"/>
  <c r="G56" i="7"/>
  <c r="I55" i="7"/>
  <c r="J55" i="7" s="1"/>
  <c r="G55" i="7"/>
  <c r="I54" i="7"/>
  <c r="J54" i="7" s="1"/>
  <c r="G54" i="7"/>
  <c r="J53" i="7"/>
  <c r="I53" i="7"/>
  <c r="G53" i="7"/>
  <c r="J52" i="7"/>
  <c r="I52" i="7"/>
  <c r="G52" i="7"/>
  <c r="J51" i="7"/>
  <c r="I51" i="7"/>
  <c r="G51" i="7" s="1"/>
  <c r="I50" i="7"/>
  <c r="J50" i="7" s="1"/>
  <c r="G50" i="7"/>
  <c r="I49" i="7"/>
  <c r="J49" i="7" s="1"/>
  <c r="G49" i="7"/>
  <c r="J48" i="7"/>
  <c r="I48" i="7"/>
  <c r="G48" i="7" s="1"/>
  <c r="I47" i="7"/>
  <c r="J47" i="7" s="1"/>
  <c r="I46" i="7"/>
  <c r="J46" i="7" s="1"/>
  <c r="G46" i="7"/>
  <c r="J45" i="7"/>
  <c r="I45" i="7"/>
  <c r="G45" i="7"/>
  <c r="J44" i="7"/>
  <c r="I44" i="7"/>
  <c r="G44" i="7"/>
  <c r="I43" i="7"/>
  <c r="G43" i="7" s="1"/>
  <c r="I42" i="7"/>
  <c r="J42" i="7" s="1"/>
  <c r="G42" i="7"/>
  <c r="I41" i="7"/>
  <c r="J41" i="7" s="1"/>
  <c r="G41" i="7"/>
  <c r="J40" i="7"/>
  <c r="I40" i="7"/>
  <c r="G40" i="7" s="1"/>
  <c r="I39" i="7"/>
  <c r="J39" i="7" s="1"/>
  <c r="I38" i="7"/>
  <c r="J38" i="7" s="1"/>
  <c r="G38" i="7"/>
  <c r="J37" i="7"/>
  <c r="I37" i="7"/>
  <c r="G37" i="7"/>
  <c r="J36" i="7"/>
  <c r="I36" i="7"/>
  <c r="G36" i="7"/>
  <c r="J35" i="7"/>
  <c r="I35" i="7"/>
  <c r="G35" i="7"/>
  <c r="I34" i="7"/>
  <c r="J34" i="7" s="1"/>
  <c r="G34" i="7"/>
  <c r="I33" i="7"/>
  <c r="J33" i="7" s="1"/>
  <c r="G33" i="7"/>
  <c r="J32" i="7"/>
  <c r="I32" i="7"/>
  <c r="G32" i="7" s="1"/>
  <c r="I31" i="7"/>
  <c r="J31" i="7" s="1"/>
  <c r="I30" i="7"/>
  <c r="J30" i="7" s="1"/>
  <c r="G30" i="7"/>
  <c r="J29" i="7"/>
  <c r="I29" i="7"/>
  <c r="G29" i="7"/>
  <c r="J28" i="7"/>
  <c r="I28" i="7"/>
  <c r="G28" i="7"/>
  <c r="J27" i="7"/>
  <c r="I27" i="7"/>
  <c r="G27" i="7" s="1"/>
  <c r="I26" i="7"/>
  <c r="J26" i="7" s="1"/>
  <c r="G26" i="7"/>
  <c r="I25" i="7"/>
  <c r="J25" i="7" s="1"/>
  <c r="G25" i="7"/>
  <c r="J24" i="7"/>
  <c r="I24" i="7"/>
  <c r="G24" i="7" s="1"/>
  <c r="I23" i="7"/>
  <c r="J23" i="7" s="1"/>
  <c r="I22" i="7"/>
  <c r="J22" i="7" s="1"/>
  <c r="J21" i="7"/>
  <c r="I21" i="7"/>
  <c r="G21" i="7"/>
  <c r="J20" i="7"/>
  <c r="I20" i="7"/>
  <c r="G20" i="7"/>
  <c r="J19" i="7"/>
  <c r="I19" i="7"/>
  <c r="G19" i="7" s="1"/>
  <c r="J18" i="7"/>
  <c r="I18" i="7"/>
  <c r="G18" i="7"/>
  <c r="I17" i="7"/>
  <c r="J17" i="7" s="1"/>
  <c r="G17" i="7"/>
  <c r="J16" i="7"/>
  <c r="I16" i="7"/>
  <c r="G16" i="7" s="1"/>
  <c r="I15" i="7"/>
  <c r="J15" i="7" s="1"/>
  <c r="I14" i="7"/>
  <c r="J14" i="7" s="1"/>
  <c r="J13" i="7"/>
  <c r="I13" i="7"/>
  <c r="G13" i="7"/>
  <c r="J12" i="7"/>
  <c r="I12" i="7"/>
  <c r="G12" i="7"/>
  <c r="J11" i="7"/>
  <c r="I11" i="7"/>
  <c r="G11" i="7" s="1"/>
  <c r="J10" i="7"/>
  <c r="I10" i="7"/>
  <c r="G10" i="7"/>
  <c r="I9" i="7"/>
  <c r="J9" i="7" s="1"/>
  <c r="G9" i="7"/>
  <c r="J8" i="7"/>
  <c r="I8" i="7"/>
  <c r="G8" i="7" s="1"/>
  <c r="I7" i="7"/>
  <c r="J7" i="7" s="1"/>
  <c r="I6" i="7"/>
  <c r="J6" i="7" s="1"/>
  <c r="G6" i="7"/>
  <c r="J5" i="7"/>
  <c r="I5" i="7"/>
  <c r="G5" i="7"/>
  <c r="J4" i="7"/>
  <c r="I4" i="7"/>
  <c r="G4" i="7"/>
  <c r="I3" i="7"/>
  <c r="I244" i="6"/>
  <c r="J244" i="6" s="1"/>
  <c r="G244" i="6"/>
  <c r="J243" i="6"/>
  <c r="I243" i="6"/>
  <c r="G243" i="6"/>
  <c r="J242" i="6"/>
  <c r="I242" i="6"/>
  <c r="G242" i="6"/>
  <c r="I241" i="6"/>
  <c r="J241" i="6" s="1"/>
  <c r="G241" i="6"/>
  <c r="J240" i="6"/>
  <c r="I240" i="6"/>
  <c r="G240" i="6"/>
  <c r="I239" i="6"/>
  <c r="J239" i="6" s="1"/>
  <c r="G239" i="6"/>
  <c r="J238" i="6"/>
  <c r="I238" i="6"/>
  <c r="G238" i="6"/>
  <c r="I237" i="6"/>
  <c r="J237" i="6" s="1"/>
  <c r="G237" i="6"/>
  <c r="I236" i="6"/>
  <c r="J236" i="6" s="1"/>
  <c r="G236" i="6"/>
  <c r="J235" i="6"/>
  <c r="I235" i="6"/>
  <c r="G235" i="6"/>
  <c r="J234" i="6"/>
  <c r="I234" i="6"/>
  <c r="G234" i="6"/>
  <c r="J233" i="6"/>
  <c r="I233" i="6"/>
  <c r="G233" i="6"/>
  <c r="J232" i="6"/>
  <c r="I232" i="6"/>
  <c r="G232" i="6"/>
  <c r="I231" i="6"/>
  <c r="J231" i="6" s="1"/>
  <c r="G231" i="6"/>
  <c r="J230" i="6"/>
  <c r="I230" i="6"/>
  <c r="G230" i="6"/>
  <c r="I229" i="6"/>
  <c r="J229" i="6" s="1"/>
  <c r="I228" i="6"/>
  <c r="J228" i="6" s="1"/>
  <c r="G228" i="6"/>
  <c r="J227" i="6"/>
  <c r="I227" i="6"/>
  <c r="G227" i="6"/>
  <c r="J226" i="6"/>
  <c r="I226" i="6"/>
  <c r="G226" i="6"/>
  <c r="J225" i="6"/>
  <c r="I225" i="6"/>
  <c r="G225" i="6"/>
  <c r="I224" i="6"/>
  <c r="J224" i="6" s="1"/>
  <c r="G224" i="6"/>
  <c r="I223" i="6"/>
  <c r="J223" i="6" s="1"/>
  <c r="G223" i="6"/>
  <c r="J222" i="6"/>
  <c r="I222" i="6"/>
  <c r="G222" i="6"/>
  <c r="I221" i="6"/>
  <c r="J221" i="6" s="1"/>
  <c r="G221" i="6"/>
  <c r="I220" i="6"/>
  <c r="J220" i="6" s="1"/>
  <c r="G220" i="6"/>
  <c r="J219" i="6"/>
  <c r="I219" i="6"/>
  <c r="G219" i="6"/>
  <c r="J218" i="6"/>
  <c r="I218" i="6"/>
  <c r="G218" i="6"/>
  <c r="J217" i="6"/>
  <c r="I217" i="6"/>
  <c r="G217" i="6"/>
  <c r="I216" i="6"/>
  <c r="J216" i="6" s="1"/>
  <c r="G216" i="6"/>
  <c r="I215" i="6"/>
  <c r="J215" i="6" s="1"/>
  <c r="G215" i="6"/>
  <c r="J214" i="6"/>
  <c r="I214" i="6"/>
  <c r="G214" i="6"/>
  <c r="I213" i="6"/>
  <c r="J213" i="6" s="1"/>
  <c r="G213" i="6"/>
  <c r="I212" i="6"/>
  <c r="J212" i="6" s="1"/>
  <c r="G212" i="6"/>
  <c r="J211" i="6"/>
  <c r="I211" i="6"/>
  <c r="G211" i="6"/>
  <c r="J210" i="6"/>
  <c r="I210" i="6"/>
  <c r="G210" i="6"/>
  <c r="J209" i="6"/>
  <c r="I209" i="6"/>
  <c r="G209" i="6"/>
  <c r="I208" i="6"/>
  <c r="J208" i="6" s="1"/>
  <c r="G208" i="6"/>
  <c r="I207" i="6"/>
  <c r="J207" i="6" s="1"/>
  <c r="G207" i="6"/>
  <c r="J206" i="6"/>
  <c r="I206" i="6"/>
  <c r="G206" i="6"/>
  <c r="I205" i="6"/>
  <c r="J205" i="6" s="1"/>
  <c r="I204" i="6"/>
  <c r="J204" i="6" s="1"/>
  <c r="J203" i="6"/>
  <c r="I203" i="6"/>
  <c r="G203" i="6"/>
  <c r="J202" i="6"/>
  <c r="I202" i="6"/>
  <c r="G202" i="6"/>
  <c r="J201" i="6"/>
  <c r="I201" i="6"/>
  <c r="G201" i="6" s="1"/>
  <c r="I200" i="6"/>
  <c r="J200" i="6" s="1"/>
  <c r="G200" i="6"/>
  <c r="I199" i="6"/>
  <c r="J199" i="6" s="1"/>
  <c r="G199" i="6"/>
  <c r="J198" i="6"/>
  <c r="I198" i="6"/>
  <c r="G198" i="6"/>
  <c r="I197" i="6"/>
  <c r="J197" i="6" s="1"/>
  <c r="I196" i="6"/>
  <c r="J196" i="6" s="1"/>
  <c r="J195" i="6"/>
  <c r="I195" i="6"/>
  <c r="G195" i="6"/>
  <c r="J194" i="6"/>
  <c r="I194" i="6"/>
  <c r="G194" i="6"/>
  <c r="J193" i="6"/>
  <c r="I193" i="6"/>
  <c r="G193" i="6" s="1"/>
  <c r="I192" i="6"/>
  <c r="J192" i="6" s="1"/>
  <c r="G192" i="6"/>
  <c r="G191" i="6"/>
  <c r="F191" i="6"/>
  <c r="I191" i="6" s="1"/>
  <c r="J191" i="6" s="1"/>
  <c r="F190" i="6"/>
  <c r="I190" i="6" s="1"/>
  <c r="J190" i="6" s="1"/>
  <c r="G189" i="6"/>
  <c r="F189" i="6"/>
  <c r="I189" i="6" s="1"/>
  <c r="J189" i="6" s="1"/>
  <c r="F188" i="6"/>
  <c r="I188" i="6" s="1"/>
  <c r="J188" i="6" s="1"/>
  <c r="G187" i="6"/>
  <c r="F187" i="6"/>
  <c r="I187" i="6" s="1"/>
  <c r="J187" i="6" s="1"/>
  <c r="F186" i="6"/>
  <c r="I186" i="6" s="1"/>
  <c r="J186" i="6" s="1"/>
  <c r="F185" i="6"/>
  <c r="I185" i="6" s="1"/>
  <c r="J185" i="6" s="1"/>
  <c r="F184" i="6"/>
  <c r="I184" i="6" s="1"/>
  <c r="J184" i="6" s="1"/>
  <c r="G183" i="6"/>
  <c r="F183" i="6"/>
  <c r="I183" i="6" s="1"/>
  <c r="J183" i="6" s="1"/>
  <c r="F182" i="6"/>
  <c r="I182" i="6" s="1"/>
  <c r="J182" i="6" s="1"/>
  <c r="G181" i="6"/>
  <c r="F181" i="6"/>
  <c r="I181" i="6" s="1"/>
  <c r="J181" i="6" s="1"/>
  <c r="F180" i="6"/>
  <c r="I180" i="6" s="1"/>
  <c r="J180" i="6" s="1"/>
  <c r="G179" i="6"/>
  <c r="F179" i="6"/>
  <c r="I179" i="6" s="1"/>
  <c r="J179" i="6" s="1"/>
  <c r="F178" i="6"/>
  <c r="I178" i="6" s="1"/>
  <c r="F177" i="6"/>
  <c r="I177" i="6" s="1"/>
  <c r="J177" i="6" s="1"/>
  <c r="J176" i="6"/>
  <c r="I176" i="6"/>
  <c r="G176" i="6"/>
  <c r="I175" i="6"/>
  <c r="J175" i="6" s="1"/>
  <c r="G175" i="6"/>
  <c r="J174" i="6"/>
  <c r="I174" i="6"/>
  <c r="G174" i="6"/>
  <c r="I173" i="6"/>
  <c r="J173" i="6" s="1"/>
  <c r="G173" i="6"/>
  <c r="J172" i="6"/>
  <c r="I172" i="6"/>
  <c r="G172" i="6"/>
  <c r="J171" i="6"/>
  <c r="I171" i="6"/>
  <c r="G171" i="6"/>
  <c r="J170" i="6"/>
  <c r="I170" i="6"/>
  <c r="G170" i="6"/>
  <c r="I169" i="6"/>
  <c r="J169" i="6" s="1"/>
  <c r="J168" i="6"/>
  <c r="I168" i="6"/>
  <c r="G168" i="6"/>
  <c r="I167" i="6"/>
  <c r="J167" i="6" s="1"/>
  <c r="J166" i="6"/>
  <c r="I166" i="6"/>
  <c r="G166" i="6"/>
  <c r="I165" i="6"/>
  <c r="J165" i="6" s="1"/>
  <c r="G165" i="6"/>
  <c r="J164" i="6"/>
  <c r="I164" i="6"/>
  <c r="G164" i="6"/>
  <c r="J163" i="6"/>
  <c r="I163" i="6"/>
  <c r="G163" i="6"/>
  <c r="I162" i="6"/>
  <c r="J162" i="6" s="1"/>
  <c r="G162" i="6"/>
  <c r="I161" i="6"/>
  <c r="J161" i="6" s="1"/>
  <c r="G161" i="6"/>
  <c r="J160" i="6"/>
  <c r="I160" i="6"/>
  <c r="G160" i="6"/>
  <c r="I159" i="6"/>
  <c r="J159" i="6" s="1"/>
  <c r="G159" i="6"/>
  <c r="J158" i="6"/>
  <c r="I158" i="6"/>
  <c r="G158" i="6"/>
  <c r="I157" i="6"/>
  <c r="J157" i="6" s="1"/>
  <c r="G157" i="6"/>
  <c r="J156" i="6"/>
  <c r="I156" i="6"/>
  <c r="G156" i="6"/>
  <c r="J155" i="6"/>
  <c r="I155" i="6"/>
  <c r="G155" i="6"/>
  <c r="I154" i="6"/>
  <c r="J154" i="6" s="1"/>
  <c r="G154" i="6"/>
  <c r="I153" i="6"/>
  <c r="J153" i="6" s="1"/>
  <c r="G153" i="6"/>
  <c r="J152" i="6"/>
  <c r="I152" i="6"/>
  <c r="G152" i="6"/>
  <c r="I151" i="6"/>
  <c r="J151" i="6" s="1"/>
  <c r="J150" i="6"/>
  <c r="I150" i="6"/>
  <c r="G150" i="6" s="1"/>
  <c r="I149" i="6"/>
  <c r="J149" i="6" s="1"/>
  <c r="G149" i="6"/>
  <c r="J148" i="6"/>
  <c r="I148" i="6"/>
  <c r="G148" i="6"/>
  <c r="J147" i="6"/>
  <c r="I147" i="6"/>
  <c r="G147" i="6" s="1"/>
  <c r="I146" i="6"/>
  <c r="J146" i="6" s="1"/>
  <c r="G146" i="6"/>
  <c r="I145" i="6"/>
  <c r="J145" i="6" s="1"/>
  <c r="J144" i="6"/>
  <c r="I144" i="6"/>
  <c r="G144" i="6"/>
  <c r="I143" i="6"/>
  <c r="J143" i="6" s="1"/>
  <c r="J142" i="6"/>
  <c r="I142" i="6"/>
  <c r="G142" i="6" s="1"/>
  <c r="I141" i="6"/>
  <c r="J141" i="6" s="1"/>
  <c r="G141" i="6"/>
  <c r="J140" i="6"/>
  <c r="I140" i="6"/>
  <c r="G140" i="6"/>
  <c r="J139" i="6"/>
  <c r="I139" i="6"/>
  <c r="G139" i="6" s="1"/>
  <c r="I138" i="6"/>
  <c r="J138" i="6" s="1"/>
  <c r="G138" i="6"/>
  <c r="I137" i="6"/>
  <c r="J137" i="6" s="1"/>
  <c r="J136" i="6"/>
  <c r="I136" i="6"/>
  <c r="G136" i="6"/>
  <c r="I135" i="6"/>
  <c r="J135" i="6" s="1"/>
  <c r="G135" i="6"/>
  <c r="J134" i="6"/>
  <c r="I134" i="6"/>
  <c r="G134" i="6"/>
  <c r="I133" i="6"/>
  <c r="J133" i="6" s="1"/>
  <c r="G133" i="6"/>
  <c r="J132" i="6"/>
  <c r="I132" i="6"/>
  <c r="G132" i="6"/>
  <c r="J131" i="6"/>
  <c r="I131" i="6"/>
  <c r="G131" i="6" s="1"/>
  <c r="I130" i="6"/>
  <c r="J130" i="6" s="1"/>
  <c r="G130" i="6"/>
  <c r="I129" i="6"/>
  <c r="J129" i="6" s="1"/>
  <c r="G129" i="6"/>
  <c r="J128" i="6"/>
  <c r="I128" i="6"/>
  <c r="G128" i="6"/>
  <c r="I127" i="6"/>
  <c r="J127" i="6" s="1"/>
  <c r="J126" i="6"/>
  <c r="I126" i="6"/>
  <c r="G126" i="6" s="1"/>
  <c r="I125" i="6"/>
  <c r="J125" i="6" s="1"/>
  <c r="G125" i="6"/>
  <c r="J124" i="6"/>
  <c r="I124" i="6"/>
  <c r="G124" i="6"/>
  <c r="J123" i="6"/>
  <c r="I123" i="6"/>
  <c r="G123" i="6"/>
  <c r="I122" i="6"/>
  <c r="J122" i="6" s="1"/>
  <c r="G122" i="6"/>
  <c r="I121" i="6"/>
  <c r="J121" i="6" s="1"/>
  <c r="G121" i="6"/>
  <c r="J120" i="6"/>
  <c r="I120" i="6"/>
  <c r="G120" i="6"/>
  <c r="I119" i="6"/>
  <c r="J119" i="6" s="1"/>
  <c r="G119" i="6"/>
  <c r="J118" i="6"/>
  <c r="I118" i="6"/>
  <c r="G118" i="6"/>
  <c r="I117" i="6"/>
  <c r="J117" i="6" s="1"/>
  <c r="G117" i="6"/>
  <c r="J116" i="6"/>
  <c r="I116" i="6"/>
  <c r="G116" i="6"/>
  <c r="J115" i="6"/>
  <c r="I115" i="6"/>
  <c r="G115" i="6"/>
  <c r="I114" i="6"/>
  <c r="J114" i="6" s="1"/>
  <c r="G114" i="6"/>
  <c r="I113" i="6"/>
  <c r="J113" i="6" s="1"/>
  <c r="G113" i="6"/>
  <c r="J112" i="6"/>
  <c r="I112" i="6"/>
  <c r="G112" i="6"/>
  <c r="I111" i="6"/>
  <c r="J111" i="6" s="1"/>
  <c r="J110" i="6"/>
  <c r="I110" i="6"/>
  <c r="G110" i="6" s="1"/>
  <c r="I109" i="6"/>
  <c r="J109" i="6" s="1"/>
  <c r="G109" i="6"/>
  <c r="J108" i="6"/>
  <c r="I108" i="6"/>
  <c r="G108" i="6"/>
  <c r="J107" i="6"/>
  <c r="I107" i="6"/>
  <c r="G107" i="6" s="1"/>
  <c r="I106" i="6"/>
  <c r="J106" i="6" s="1"/>
  <c r="I105" i="6"/>
  <c r="J105" i="6" s="1"/>
  <c r="G105" i="6"/>
  <c r="J104" i="6"/>
  <c r="I104" i="6"/>
  <c r="G104" i="6"/>
  <c r="J103" i="6"/>
  <c r="I103" i="6"/>
  <c r="G103" i="6" s="1"/>
  <c r="I102" i="6"/>
  <c r="J102" i="6" s="1"/>
  <c r="G102" i="6"/>
  <c r="I101" i="6"/>
  <c r="J101" i="6" s="1"/>
  <c r="G101" i="6"/>
  <c r="J100" i="6"/>
  <c r="I100" i="6"/>
  <c r="G100" i="6" s="1"/>
  <c r="I99" i="6"/>
  <c r="G99" i="6" s="1"/>
  <c r="I98" i="6"/>
  <c r="J98" i="6" s="1"/>
  <c r="I97" i="6"/>
  <c r="J97" i="6" s="1"/>
  <c r="J96" i="6"/>
  <c r="I96" i="6"/>
  <c r="G96" i="6"/>
  <c r="J95" i="6"/>
  <c r="I95" i="6"/>
  <c r="G95" i="6" s="1"/>
  <c r="J94" i="6"/>
  <c r="I94" i="6"/>
  <c r="G94" i="6" s="1"/>
  <c r="I93" i="6"/>
  <c r="J93" i="6" s="1"/>
  <c r="G93" i="6"/>
  <c r="J92" i="6"/>
  <c r="I92" i="6"/>
  <c r="G92" i="6" s="1"/>
  <c r="J91" i="6"/>
  <c r="I91" i="6"/>
  <c r="G91" i="6" s="1"/>
  <c r="I90" i="6"/>
  <c r="J90" i="6" s="1"/>
  <c r="G90" i="6"/>
  <c r="J89" i="6"/>
  <c r="I89" i="6"/>
  <c r="G89" i="6"/>
  <c r="J88" i="6"/>
  <c r="I88" i="6"/>
  <c r="G88" i="6" s="1"/>
  <c r="I87" i="6"/>
  <c r="G87" i="6" s="1"/>
  <c r="I86" i="6"/>
  <c r="J86" i="6" s="1"/>
  <c r="J85" i="6"/>
  <c r="I85" i="6"/>
  <c r="G85" i="6"/>
  <c r="J84" i="6"/>
  <c r="I84" i="6"/>
  <c r="G84" i="6" s="1"/>
  <c r="J83" i="6"/>
  <c r="I83" i="6"/>
  <c r="G83" i="6" s="1"/>
  <c r="I82" i="6"/>
  <c r="J82" i="6" s="1"/>
  <c r="G82" i="6"/>
  <c r="F81" i="6"/>
  <c r="I81" i="6" s="1"/>
  <c r="F80" i="6"/>
  <c r="I80" i="6" s="1"/>
  <c r="J80" i="6" s="1"/>
  <c r="F79" i="6"/>
  <c r="I79" i="6" s="1"/>
  <c r="J78" i="6"/>
  <c r="I78" i="6"/>
  <c r="G78" i="6"/>
  <c r="I77" i="6"/>
  <c r="G77" i="6" s="1"/>
  <c r="J76" i="6"/>
  <c r="I76" i="6"/>
  <c r="G76" i="6"/>
  <c r="I75" i="6"/>
  <c r="J75" i="6" s="1"/>
  <c r="G75" i="6"/>
  <c r="J74" i="6"/>
  <c r="I74" i="6"/>
  <c r="G74" i="6"/>
  <c r="I73" i="6"/>
  <c r="J73" i="6" s="1"/>
  <c r="I72" i="6"/>
  <c r="J72" i="6" s="1"/>
  <c r="G72" i="6"/>
  <c r="I71" i="6"/>
  <c r="J71" i="6" s="1"/>
  <c r="J70" i="6"/>
  <c r="I70" i="6"/>
  <c r="G70" i="6"/>
  <c r="I69" i="6"/>
  <c r="G69" i="6" s="1"/>
  <c r="J68" i="6"/>
  <c r="I68" i="6"/>
  <c r="G68" i="6"/>
  <c r="I67" i="6"/>
  <c r="J67" i="6" s="1"/>
  <c r="G67" i="6"/>
  <c r="J66" i="6"/>
  <c r="I66" i="6"/>
  <c r="G66" i="6"/>
  <c r="I65" i="6"/>
  <c r="J65" i="6" s="1"/>
  <c r="I64" i="6"/>
  <c r="J64" i="6" s="1"/>
  <c r="G64" i="6"/>
  <c r="I63" i="6"/>
  <c r="J63" i="6" s="1"/>
  <c r="J62" i="6"/>
  <c r="I62" i="6"/>
  <c r="G62" i="6"/>
  <c r="I61" i="6"/>
  <c r="G61" i="6" s="1"/>
  <c r="J60" i="6"/>
  <c r="I60" i="6"/>
  <c r="G60" i="6"/>
  <c r="F60" i="6"/>
  <c r="I59" i="6"/>
  <c r="J59" i="6" s="1"/>
  <c r="G59" i="6"/>
  <c r="I58" i="6"/>
  <c r="J58" i="6" s="1"/>
  <c r="F58" i="6"/>
  <c r="G58" i="6" s="1"/>
  <c r="F57" i="6"/>
  <c r="I57" i="6" s="1"/>
  <c r="J57" i="6" s="1"/>
  <c r="I56" i="6"/>
  <c r="J56" i="6" s="1"/>
  <c r="J55" i="6"/>
  <c r="I55" i="6"/>
  <c r="G55" i="6"/>
  <c r="I54" i="6"/>
  <c r="G54" i="6" s="1"/>
  <c r="J53" i="6"/>
  <c r="I53" i="6"/>
  <c r="G53" i="6"/>
  <c r="I52" i="6"/>
  <c r="J52" i="6" s="1"/>
  <c r="G52" i="6"/>
  <c r="J51" i="6"/>
  <c r="I51" i="6"/>
  <c r="G51" i="6"/>
  <c r="I50" i="6"/>
  <c r="J50" i="6" s="1"/>
  <c r="I49" i="6"/>
  <c r="J49" i="6" s="1"/>
  <c r="G49" i="6"/>
  <c r="I48" i="6"/>
  <c r="J48" i="6" s="1"/>
  <c r="J47" i="6"/>
  <c r="I47" i="6"/>
  <c r="G47" i="6"/>
  <c r="I46" i="6"/>
  <c r="J46" i="6" s="1"/>
  <c r="G46" i="6"/>
  <c r="J45" i="6"/>
  <c r="I45" i="6"/>
  <c r="G45" i="6"/>
  <c r="I44" i="6"/>
  <c r="J44" i="6" s="1"/>
  <c r="G44" i="6"/>
  <c r="J43" i="6"/>
  <c r="I43" i="6"/>
  <c r="G43" i="6"/>
  <c r="I42" i="6"/>
  <c r="J42" i="6" s="1"/>
  <c r="G42" i="6"/>
  <c r="I41" i="6"/>
  <c r="J41" i="6" s="1"/>
  <c r="G41" i="6"/>
  <c r="I40" i="6"/>
  <c r="J40" i="6" s="1"/>
  <c r="G40" i="6"/>
  <c r="J39" i="6"/>
  <c r="I39" i="6"/>
  <c r="G39" i="6"/>
  <c r="I38" i="6"/>
  <c r="J38" i="6" s="1"/>
  <c r="G38" i="6"/>
  <c r="J37" i="6"/>
  <c r="I37" i="6"/>
  <c r="G37" i="6"/>
  <c r="I36" i="6"/>
  <c r="J36" i="6" s="1"/>
  <c r="F36" i="6"/>
  <c r="G36" i="6" s="1"/>
  <c r="I35" i="6"/>
  <c r="J35" i="6" s="1"/>
  <c r="G35" i="6"/>
  <c r="J34" i="6"/>
  <c r="I34" i="6"/>
  <c r="G34" i="6"/>
  <c r="J33" i="6"/>
  <c r="I33" i="6"/>
  <c r="G33" i="6"/>
  <c r="J32" i="6"/>
  <c r="I32" i="6"/>
  <c r="G32" i="6"/>
  <c r="I31" i="6"/>
  <c r="J31" i="6" s="1"/>
  <c r="G31" i="6"/>
  <c r="J30" i="6"/>
  <c r="I30" i="6"/>
  <c r="G30" i="6"/>
  <c r="I29" i="6"/>
  <c r="J29" i="6" s="1"/>
  <c r="G29" i="6"/>
  <c r="I28" i="6"/>
  <c r="J28" i="6" s="1"/>
  <c r="G28" i="6"/>
  <c r="I27" i="6"/>
  <c r="J27" i="6" s="1"/>
  <c r="G27" i="6"/>
  <c r="J26" i="6"/>
  <c r="I26" i="6"/>
  <c r="F26" i="6"/>
  <c r="G26" i="6" s="1"/>
  <c r="J25" i="6"/>
  <c r="I25" i="6"/>
  <c r="G25" i="6"/>
  <c r="F25" i="6"/>
  <c r="F245" i="6" s="1"/>
  <c r="J24" i="6"/>
  <c r="I24" i="6"/>
  <c r="G24" i="6"/>
  <c r="I23" i="6"/>
  <c r="J23" i="6" s="1"/>
  <c r="G23" i="6"/>
  <c r="J22" i="6"/>
  <c r="I22" i="6"/>
  <c r="G22" i="6"/>
  <c r="I21" i="6"/>
  <c r="J21" i="6" s="1"/>
  <c r="G21" i="6"/>
  <c r="J20" i="6"/>
  <c r="I20" i="6"/>
  <c r="G20" i="6"/>
  <c r="I19" i="6"/>
  <c r="J19" i="6" s="1"/>
  <c r="G19" i="6"/>
  <c r="I18" i="6"/>
  <c r="J18" i="6" s="1"/>
  <c r="G18" i="6"/>
  <c r="I17" i="6"/>
  <c r="J17" i="6" s="1"/>
  <c r="G17" i="6"/>
  <c r="J16" i="6"/>
  <c r="I16" i="6"/>
  <c r="G16" i="6"/>
  <c r="I15" i="6"/>
  <c r="J15" i="6" s="1"/>
  <c r="G15" i="6"/>
  <c r="J14" i="6"/>
  <c r="I14" i="6"/>
  <c r="G14" i="6"/>
  <c r="I13" i="6"/>
  <c r="J13" i="6" s="1"/>
  <c r="G13" i="6"/>
  <c r="J12" i="6"/>
  <c r="I12" i="6"/>
  <c r="G12" i="6"/>
  <c r="I11" i="6"/>
  <c r="J11" i="6" s="1"/>
  <c r="G11" i="6"/>
  <c r="I10" i="6"/>
  <c r="J10" i="6" s="1"/>
  <c r="G10" i="6"/>
  <c r="I9" i="6"/>
  <c r="J9" i="6" s="1"/>
  <c r="G9" i="6"/>
  <c r="J8" i="6"/>
  <c r="I8" i="6"/>
  <c r="G8" i="6"/>
  <c r="I7" i="6"/>
  <c r="J7" i="6" s="1"/>
  <c r="G7" i="6"/>
  <c r="J6" i="6"/>
  <c r="I6" i="6"/>
  <c r="G6" i="6"/>
  <c r="I5" i="6"/>
  <c r="J5" i="6" s="1"/>
  <c r="G5" i="6"/>
  <c r="J4" i="6"/>
  <c r="I4" i="6"/>
  <c r="G4" i="6"/>
  <c r="J3" i="6"/>
  <c r="I3" i="6"/>
  <c r="G3" i="6"/>
  <c r="J147" i="5"/>
  <c r="I147" i="5"/>
  <c r="G147" i="5"/>
  <c r="I146" i="5"/>
  <c r="J146" i="5" s="1"/>
  <c r="G146" i="5"/>
  <c r="J145" i="5"/>
  <c r="I145" i="5"/>
  <c r="G145" i="5"/>
  <c r="J144" i="5"/>
  <c r="I144" i="5"/>
  <c r="G144" i="5"/>
  <c r="I143" i="5"/>
  <c r="J143" i="5" s="1"/>
  <c r="G143" i="5"/>
  <c r="I142" i="5"/>
  <c r="J142" i="5" s="1"/>
  <c r="G142" i="5"/>
  <c r="J141" i="5"/>
  <c r="I141" i="5"/>
  <c r="G141" i="5"/>
  <c r="I140" i="5"/>
  <c r="J140" i="5" s="1"/>
  <c r="G140" i="5"/>
  <c r="J139" i="5"/>
  <c r="I139" i="5"/>
  <c r="G139" i="5"/>
  <c r="I138" i="5"/>
  <c r="J138" i="5" s="1"/>
  <c r="G138" i="5"/>
  <c r="J137" i="5"/>
  <c r="I137" i="5"/>
  <c r="G137" i="5"/>
  <c r="J136" i="5"/>
  <c r="I136" i="5"/>
  <c r="G136" i="5"/>
  <c r="I135" i="5"/>
  <c r="J135" i="5" s="1"/>
  <c r="G135" i="5"/>
  <c r="I134" i="5"/>
  <c r="J134" i="5" s="1"/>
  <c r="G134" i="5"/>
  <c r="J133" i="5"/>
  <c r="I133" i="5"/>
  <c r="G133" i="5"/>
  <c r="I132" i="5"/>
  <c r="J132" i="5" s="1"/>
  <c r="G132" i="5"/>
  <c r="J131" i="5"/>
  <c r="I131" i="5"/>
  <c r="G131" i="5"/>
  <c r="I130" i="5"/>
  <c r="J130" i="5" s="1"/>
  <c r="G130" i="5"/>
  <c r="J129" i="5"/>
  <c r="I129" i="5"/>
  <c r="G129" i="5"/>
  <c r="J128" i="5"/>
  <c r="I128" i="5"/>
  <c r="G128" i="5"/>
  <c r="I127" i="5"/>
  <c r="J127" i="5" s="1"/>
  <c r="G127" i="5"/>
  <c r="I126" i="5"/>
  <c r="J126" i="5" s="1"/>
  <c r="G126" i="5"/>
  <c r="J125" i="5"/>
  <c r="I125" i="5"/>
  <c r="G125" i="5"/>
  <c r="I124" i="5"/>
  <c r="J124" i="5" s="1"/>
  <c r="G124" i="5"/>
  <c r="J123" i="5"/>
  <c r="I123" i="5"/>
  <c r="G123" i="5"/>
  <c r="I122" i="5"/>
  <c r="J122" i="5" s="1"/>
  <c r="G122" i="5"/>
  <c r="J121" i="5"/>
  <c r="I121" i="5"/>
  <c r="G121" i="5"/>
  <c r="J120" i="5"/>
  <c r="I120" i="5"/>
  <c r="G120" i="5"/>
  <c r="I119" i="5"/>
  <c r="J119" i="5" s="1"/>
  <c r="G119" i="5"/>
  <c r="I118" i="5"/>
  <c r="J118" i="5" s="1"/>
  <c r="J117" i="5"/>
  <c r="I117" i="5"/>
  <c r="G117" i="5"/>
  <c r="I116" i="5"/>
  <c r="G116" i="5" s="1"/>
  <c r="J115" i="5"/>
  <c r="I115" i="5"/>
  <c r="G115" i="5" s="1"/>
  <c r="I114" i="5"/>
  <c r="J114" i="5" s="1"/>
  <c r="G114" i="5"/>
  <c r="J113" i="5"/>
  <c r="I113" i="5"/>
  <c r="G113" i="5"/>
  <c r="J112" i="5"/>
  <c r="I112" i="5"/>
  <c r="G112" i="5" s="1"/>
  <c r="I111" i="5"/>
  <c r="J111" i="5" s="1"/>
  <c r="G111" i="5"/>
  <c r="I110" i="5"/>
  <c r="J110" i="5" s="1"/>
  <c r="J109" i="5"/>
  <c r="I109" i="5"/>
  <c r="G109" i="5"/>
  <c r="I108" i="5"/>
  <c r="G108" i="5" s="1"/>
  <c r="J107" i="5"/>
  <c r="I107" i="5"/>
  <c r="G107" i="5" s="1"/>
  <c r="I106" i="5"/>
  <c r="J106" i="5" s="1"/>
  <c r="G106" i="5"/>
  <c r="J105" i="5"/>
  <c r="I105" i="5"/>
  <c r="G105" i="5"/>
  <c r="J104" i="5"/>
  <c r="I104" i="5"/>
  <c r="G104" i="5" s="1"/>
  <c r="I103" i="5"/>
  <c r="J103" i="5" s="1"/>
  <c r="G103" i="5"/>
  <c r="I102" i="5"/>
  <c r="J102" i="5" s="1"/>
  <c r="J101" i="5"/>
  <c r="I101" i="5"/>
  <c r="G101" i="5"/>
  <c r="I100" i="5"/>
  <c r="G100" i="5" s="1"/>
  <c r="J99" i="5"/>
  <c r="I99" i="5"/>
  <c r="G99" i="5" s="1"/>
  <c r="F98" i="5"/>
  <c r="I98" i="5" s="1"/>
  <c r="J98" i="5" s="1"/>
  <c r="I97" i="5"/>
  <c r="J97" i="5" s="1"/>
  <c r="J96" i="5"/>
  <c r="I96" i="5"/>
  <c r="G96" i="5"/>
  <c r="I95" i="5"/>
  <c r="G95" i="5" s="1"/>
  <c r="J94" i="5"/>
  <c r="I94" i="5"/>
  <c r="G94" i="5" s="1"/>
  <c r="I93" i="5"/>
  <c r="J93" i="5" s="1"/>
  <c r="G93" i="5"/>
  <c r="J92" i="5"/>
  <c r="I92" i="5"/>
  <c r="G92" i="5"/>
  <c r="J91" i="5"/>
  <c r="I91" i="5"/>
  <c r="G91" i="5" s="1"/>
  <c r="I90" i="5"/>
  <c r="J90" i="5" s="1"/>
  <c r="G90" i="5"/>
  <c r="I89" i="5"/>
  <c r="J89" i="5" s="1"/>
  <c r="G89" i="5"/>
  <c r="J88" i="5"/>
  <c r="I88" i="5"/>
  <c r="G88" i="5"/>
  <c r="J87" i="5"/>
  <c r="I87" i="5"/>
  <c r="G87" i="5"/>
  <c r="J86" i="5"/>
  <c r="I86" i="5"/>
  <c r="G86" i="5"/>
  <c r="J85" i="5"/>
  <c r="I85" i="5"/>
  <c r="G85" i="5"/>
  <c r="J84" i="5"/>
  <c r="I84" i="5"/>
  <c r="G84" i="5"/>
  <c r="J83" i="5"/>
  <c r="I83" i="5"/>
  <c r="G83" i="5"/>
  <c r="I82" i="5"/>
  <c r="J82" i="5" s="1"/>
  <c r="G82" i="5"/>
  <c r="I81" i="5"/>
  <c r="J81" i="5" s="1"/>
  <c r="G81" i="5"/>
  <c r="J80" i="5"/>
  <c r="I80" i="5"/>
  <c r="G80" i="5"/>
  <c r="J79" i="5"/>
  <c r="I79" i="5"/>
  <c r="G79" i="5"/>
  <c r="J78" i="5"/>
  <c r="I78" i="5"/>
  <c r="G78" i="5"/>
  <c r="J77" i="5"/>
  <c r="I77" i="5"/>
  <c r="G77" i="5"/>
  <c r="J76" i="5"/>
  <c r="I76" i="5"/>
  <c r="G76" i="5"/>
  <c r="J75" i="5"/>
  <c r="I75" i="5"/>
  <c r="G75" i="5"/>
  <c r="I74" i="5"/>
  <c r="J74" i="5" s="1"/>
  <c r="G74" i="5"/>
  <c r="I73" i="5"/>
  <c r="J73" i="5" s="1"/>
  <c r="G73" i="5"/>
  <c r="J72" i="5"/>
  <c r="I72" i="5"/>
  <c r="G72" i="5"/>
  <c r="J71" i="5"/>
  <c r="I71" i="5"/>
  <c r="G71" i="5"/>
  <c r="J70" i="5"/>
  <c r="I70" i="5"/>
  <c r="G70" i="5"/>
  <c r="F70" i="5"/>
  <c r="I69" i="5"/>
  <c r="J69" i="5" s="1"/>
  <c r="G69" i="5"/>
  <c r="I68" i="5"/>
  <c r="J68" i="5" s="1"/>
  <c r="G68" i="5"/>
  <c r="J67" i="5"/>
  <c r="I67" i="5"/>
  <c r="G67" i="5"/>
  <c r="J66" i="5"/>
  <c r="I66" i="5"/>
  <c r="G66" i="5"/>
  <c r="J65" i="5"/>
  <c r="I65" i="5"/>
  <c r="G65" i="5"/>
  <c r="J64" i="5"/>
  <c r="I64" i="5"/>
  <c r="G64" i="5"/>
  <c r="J63" i="5"/>
  <c r="I63" i="5"/>
  <c r="G63" i="5"/>
  <c r="J62" i="5"/>
  <c r="I62" i="5"/>
  <c r="G62" i="5"/>
  <c r="I61" i="5"/>
  <c r="J61" i="5" s="1"/>
  <c r="G61" i="5"/>
  <c r="I60" i="5"/>
  <c r="J60" i="5" s="1"/>
  <c r="J59" i="5"/>
  <c r="I59" i="5"/>
  <c r="G59" i="5"/>
  <c r="J58" i="5"/>
  <c r="I58" i="5"/>
  <c r="G58" i="5" s="1"/>
  <c r="J57" i="5"/>
  <c r="I57" i="5"/>
  <c r="G57" i="5"/>
  <c r="J56" i="5"/>
  <c r="I56" i="5"/>
  <c r="G56" i="5"/>
  <c r="J55" i="5"/>
  <c r="I55" i="5"/>
  <c r="G55" i="5"/>
  <c r="J54" i="5"/>
  <c r="I54" i="5"/>
  <c r="G54" i="5"/>
  <c r="I53" i="5"/>
  <c r="J53" i="5" s="1"/>
  <c r="G53" i="5"/>
  <c r="I52" i="5"/>
  <c r="J52" i="5" s="1"/>
  <c r="G52" i="5"/>
  <c r="J51" i="5"/>
  <c r="I51" i="5"/>
  <c r="G51" i="5"/>
  <c r="J50" i="5"/>
  <c r="I50" i="5"/>
  <c r="G50" i="5"/>
  <c r="J49" i="5"/>
  <c r="I49" i="5"/>
  <c r="G49" i="5"/>
  <c r="J48" i="5"/>
  <c r="I48" i="5"/>
  <c r="G48" i="5"/>
  <c r="J47" i="5"/>
  <c r="I47" i="5"/>
  <c r="G47" i="5"/>
  <c r="J46" i="5"/>
  <c r="I46" i="5"/>
  <c r="G46" i="5"/>
  <c r="I45" i="5"/>
  <c r="J45" i="5" s="1"/>
  <c r="G45" i="5"/>
  <c r="I44" i="5"/>
  <c r="J44" i="5" s="1"/>
  <c r="G44" i="5"/>
  <c r="J43" i="5"/>
  <c r="I43" i="5"/>
  <c r="G43" i="5"/>
  <c r="J42" i="5"/>
  <c r="I42" i="5"/>
  <c r="G42" i="5"/>
  <c r="J41" i="5"/>
  <c r="I41" i="5"/>
  <c r="G41" i="5"/>
  <c r="J40" i="5"/>
  <c r="I40" i="5"/>
  <c r="G40" i="5"/>
  <c r="J39" i="5"/>
  <c r="I39" i="5"/>
  <c r="G39" i="5"/>
  <c r="J38" i="5"/>
  <c r="I38" i="5"/>
  <c r="G38" i="5"/>
  <c r="F38" i="5"/>
  <c r="J37" i="5"/>
  <c r="I37" i="5"/>
  <c r="G37" i="5" s="1"/>
  <c r="J36" i="5"/>
  <c r="I36" i="5"/>
  <c r="G36" i="5"/>
  <c r="J35" i="5"/>
  <c r="I35" i="5"/>
  <c r="G35" i="5"/>
  <c r="J34" i="5"/>
  <c r="I34" i="5"/>
  <c r="G34" i="5"/>
  <c r="J33" i="5"/>
  <c r="I33" i="5"/>
  <c r="G33" i="5"/>
  <c r="I32" i="5"/>
  <c r="J32" i="5" s="1"/>
  <c r="G32" i="5"/>
  <c r="I31" i="5"/>
  <c r="J31" i="5" s="1"/>
  <c r="G31" i="5"/>
  <c r="J30" i="5"/>
  <c r="I30" i="5"/>
  <c r="G30" i="5"/>
  <c r="J29" i="5"/>
  <c r="I29" i="5"/>
  <c r="G29" i="5"/>
  <c r="J28" i="5"/>
  <c r="I28" i="5"/>
  <c r="G28" i="5"/>
  <c r="J27" i="5"/>
  <c r="I27" i="5"/>
  <c r="G27" i="5"/>
  <c r="J26" i="5"/>
  <c r="I26" i="5"/>
  <c r="G26" i="5"/>
  <c r="J25" i="5"/>
  <c r="I25" i="5"/>
  <c r="G25" i="5" s="1"/>
  <c r="I24" i="5"/>
  <c r="J24" i="5" s="1"/>
  <c r="G24" i="5"/>
  <c r="I23" i="5"/>
  <c r="J23" i="5" s="1"/>
  <c r="G23" i="5"/>
  <c r="F23" i="5"/>
  <c r="F148" i="5" s="1"/>
  <c r="J22" i="5"/>
  <c r="I22" i="5"/>
  <c r="G22" i="5"/>
  <c r="J21" i="5"/>
  <c r="I21" i="5"/>
  <c r="G21" i="5"/>
  <c r="J20" i="5"/>
  <c r="I20" i="5"/>
  <c r="G20" i="5"/>
  <c r="I19" i="5"/>
  <c r="J19" i="5" s="1"/>
  <c r="G19" i="5"/>
  <c r="I18" i="5"/>
  <c r="J18" i="5" s="1"/>
  <c r="G18" i="5"/>
  <c r="J17" i="5"/>
  <c r="I17" i="5"/>
  <c r="G17" i="5"/>
  <c r="I16" i="5"/>
  <c r="J16" i="5" s="1"/>
  <c r="G16" i="5"/>
  <c r="J15" i="5"/>
  <c r="I15" i="5"/>
  <c r="G15" i="5"/>
  <c r="J14" i="5"/>
  <c r="I14" i="5"/>
  <c r="G14" i="5"/>
  <c r="J13" i="5"/>
  <c r="I13" i="5"/>
  <c r="G13" i="5"/>
  <c r="J12" i="5"/>
  <c r="I12" i="5"/>
  <c r="G12" i="5"/>
  <c r="I11" i="5"/>
  <c r="J11" i="5" s="1"/>
  <c r="G11" i="5"/>
  <c r="I10" i="5"/>
  <c r="J10" i="5" s="1"/>
  <c r="J9" i="5"/>
  <c r="I9" i="5"/>
  <c r="G9" i="5" s="1"/>
  <c r="I8" i="5"/>
  <c r="G8" i="5" s="1"/>
  <c r="J7" i="5"/>
  <c r="I7" i="5"/>
  <c r="G7" i="5" s="1"/>
  <c r="J6" i="5"/>
  <c r="I6" i="5"/>
  <c r="G6" i="5"/>
  <c r="J5" i="5"/>
  <c r="I5" i="5"/>
  <c r="G5" i="5"/>
  <c r="J4" i="5"/>
  <c r="I4" i="5"/>
  <c r="G4" i="5"/>
  <c r="I3" i="5"/>
  <c r="J3" i="5" s="1"/>
  <c r="G3" i="5"/>
  <c r="J164" i="4"/>
  <c r="I164" i="4"/>
  <c r="G164" i="4"/>
  <c r="J163" i="4"/>
  <c r="I163" i="4"/>
  <c r="G163" i="4"/>
  <c r="J162" i="4"/>
  <c r="I162" i="4"/>
  <c r="G162" i="4" s="1"/>
  <c r="I161" i="4"/>
  <c r="J161" i="4" s="1"/>
  <c r="G161" i="4"/>
  <c r="I160" i="4"/>
  <c r="J160" i="4" s="1"/>
  <c r="G160" i="4"/>
  <c r="J159" i="4"/>
  <c r="I159" i="4"/>
  <c r="G159" i="4" s="1"/>
  <c r="I158" i="4"/>
  <c r="G158" i="4" s="1"/>
  <c r="J157" i="4"/>
  <c r="I157" i="4"/>
  <c r="G157" i="4" s="1"/>
  <c r="J156" i="4"/>
  <c r="I156" i="4"/>
  <c r="G156" i="4"/>
  <c r="J155" i="4"/>
  <c r="I155" i="4"/>
  <c r="G155" i="4"/>
  <c r="J154" i="4"/>
  <c r="I154" i="4"/>
  <c r="G154" i="4" s="1"/>
  <c r="I153" i="4"/>
  <c r="J153" i="4" s="1"/>
  <c r="G153" i="4"/>
  <c r="I152" i="4"/>
  <c r="J152" i="4" s="1"/>
  <c r="G152" i="4"/>
  <c r="J151" i="4"/>
  <c r="I151" i="4"/>
  <c r="G151" i="4" s="1"/>
  <c r="I150" i="4"/>
  <c r="G150" i="4" s="1"/>
  <c r="J149" i="4"/>
  <c r="I149" i="4"/>
  <c r="G149" i="4" s="1"/>
  <c r="J148" i="4"/>
  <c r="I148" i="4"/>
  <c r="G148" i="4"/>
  <c r="J147" i="4"/>
  <c r="I147" i="4"/>
  <c r="G147" i="4"/>
  <c r="J146" i="4"/>
  <c r="I146" i="4"/>
  <c r="G146" i="4" s="1"/>
  <c r="I145" i="4"/>
  <c r="J145" i="4" s="1"/>
  <c r="G145" i="4"/>
  <c r="I144" i="4"/>
  <c r="J144" i="4" s="1"/>
  <c r="G144" i="4"/>
  <c r="J143" i="4"/>
  <c r="I143" i="4"/>
  <c r="G143" i="4"/>
  <c r="I142" i="4"/>
  <c r="G142" i="4" s="1"/>
  <c r="J141" i="4"/>
  <c r="I141" i="4"/>
  <c r="G141" i="4" s="1"/>
  <c r="J140" i="4"/>
  <c r="I140" i="4"/>
  <c r="G140" i="4"/>
  <c r="J139" i="4"/>
  <c r="I139" i="4"/>
  <c r="G139" i="4"/>
  <c r="J138" i="4"/>
  <c r="I138" i="4"/>
  <c r="G138" i="4" s="1"/>
  <c r="I137" i="4"/>
  <c r="J137" i="4" s="1"/>
  <c r="G137" i="4"/>
  <c r="I136" i="4"/>
  <c r="J136" i="4" s="1"/>
  <c r="J135" i="4"/>
  <c r="I135" i="4"/>
  <c r="G135" i="4" s="1"/>
  <c r="I134" i="4"/>
  <c r="G134" i="4" s="1"/>
  <c r="J133" i="4"/>
  <c r="I133" i="4"/>
  <c r="G133" i="4" s="1"/>
  <c r="J132" i="4"/>
  <c r="I132" i="4"/>
  <c r="G132" i="4"/>
  <c r="J131" i="4"/>
  <c r="I131" i="4"/>
  <c r="G131" i="4"/>
  <c r="J130" i="4"/>
  <c r="I130" i="4"/>
  <c r="G130" i="4" s="1"/>
  <c r="I129" i="4"/>
  <c r="J129" i="4" s="1"/>
  <c r="G129" i="4"/>
  <c r="I128" i="4"/>
  <c r="J128" i="4" s="1"/>
  <c r="J127" i="4"/>
  <c r="I127" i="4"/>
  <c r="G127" i="4" s="1"/>
  <c r="I126" i="4"/>
  <c r="G126" i="4" s="1"/>
  <c r="J125" i="4"/>
  <c r="I125" i="4"/>
  <c r="G125" i="4" s="1"/>
  <c r="J124" i="4"/>
  <c r="I124" i="4"/>
  <c r="G124" i="4"/>
  <c r="J123" i="4"/>
  <c r="I123" i="4"/>
  <c r="G123" i="4"/>
  <c r="J122" i="4"/>
  <c r="I122" i="4"/>
  <c r="G122" i="4" s="1"/>
  <c r="I121" i="4"/>
  <c r="J121" i="4" s="1"/>
  <c r="G121" i="4"/>
  <c r="I120" i="4"/>
  <c r="J120" i="4" s="1"/>
  <c r="J119" i="4"/>
  <c r="I119" i="4"/>
  <c r="G119" i="4" s="1"/>
  <c r="I118" i="4"/>
  <c r="G118" i="4" s="1"/>
  <c r="J117" i="4"/>
  <c r="I117" i="4"/>
  <c r="G117" i="4" s="1"/>
  <c r="J116" i="4"/>
  <c r="I116" i="4"/>
  <c r="G116" i="4"/>
  <c r="J115" i="4"/>
  <c r="I115" i="4"/>
  <c r="G115" i="4"/>
  <c r="J114" i="4"/>
  <c r="I114" i="4"/>
  <c r="G114" i="4" s="1"/>
  <c r="I113" i="4"/>
  <c r="J113" i="4" s="1"/>
  <c r="G113" i="4"/>
  <c r="I112" i="4"/>
  <c r="J112" i="4" s="1"/>
  <c r="G112" i="4"/>
  <c r="J111" i="4"/>
  <c r="I111" i="4"/>
  <c r="G111" i="4" s="1"/>
  <c r="I110" i="4"/>
  <c r="G110" i="4" s="1"/>
  <c r="J109" i="4"/>
  <c r="I109" i="4"/>
  <c r="G109" i="4"/>
  <c r="J108" i="4"/>
  <c r="I108" i="4"/>
  <c r="G108" i="4"/>
  <c r="J107" i="4"/>
  <c r="I107" i="4"/>
  <c r="G107" i="4"/>
  <c r="J106" i="4"/>
  <c r="I106" i="4"/>
  <c r="G106" i="4" s="1"/>
  <c r="I105" i="4"/>
  <c r="J105" i="4" s="1"/>
  <c r="G105" i="4"/>
  <c r="I104" i="4"/>
  <c r="J104" i="4" s="1"/>
  <c r="G104" i="4"/>
  <c r="J103" i="4"/>
  <c r="I103" i="4"/>
  <c r="G103" i="4" s="1"/>
  <c r="I102" i="4"/>
  <c r="G102" i="4" s="1"/>
  <c r="J101" i="4"/>
  <c r="I101" i="4"/>
  <c r="G101" i="4" s="1"/>
  <c r="J100" i="4"/>
  <c r="I100" i="4"/>
  <c r="G100" i="4"/>
  <c r="J99" i="4"/>
  <c r="I99" i="4"/>
  <c r="G99" i="4"/>
  <c r="J98" i="4"/>
  <c r="I98" i="4"/>
  <c r="G98" i="4" s="1"/>
  <c r="I97" i="4"/>
  <c r="J97" i="4" s="1"/>
  <c r="G97" i="4"/>
  <c r="I96" i="4"/>
  <c r="J96" i="4" s="1"/>
  <c r="J95" i="4"/>
  <c r="I95" i="4"/>
  <c r="F95" i="4"/>
  <c r="F165" i="4" s="1"/>
  <c r="J94" i="4"/>
  <c r="I94" i="4"/>
  <c r="G94" i="4"/>
  <c r="J93" i="4"/>
  <c r="I93" i="4"/>
  <c r="G93" i="4" s="1"/>
  <c r="I92" i="4"/>
  <c r="J92" i="4" s="1"/>
  <c r="G92" i="4"/>
  <c r="I91" i="4"/>
  <c r="J91" i="4" s="1"/>
  <c r="J90" i="4"/>
  <c r="I90" i="4"/>
  <c r="G90" i="4" s="1"/>
  <c r="I89" i="4"/>
  <c r="G89" i="4" s="1"/>
  <c r="J88" i="4"/>
  <c r="I88" i="4"/>
  <c r="G88" i="4" s="1"/>
  <c r="J87" i="4"/>
  <c r="I87" i="4"/>
  <c r="G87" i="4"/>
  <c r="J86" i="4"/>
  <c r="I86" i="4"/>
  <c r="G86" i="4"/>
  <c r="J85" i="4"/>
  <c r="I85" i="4"/>
  <c r="G85" i="4" s="1"/>
  <c r="I84" i="4"/>
  <c r="J84" i="4" s="1"/>
  <c r="G84" i="4"/>
  <c r="I83" i="4"/>
  <c r="J83" i="4" s="1"/>
  <c r="J82" i="4"/>
  <c r="I82" i="4"/>
  <c r="G82" i="4" s="1"/>
  <c r="I81" i="4"/>
  <c r="I80" i="4"/>
  <c r="J80" i="4" s="1"/>
  <c r="J79" i="4"/>
  <c r="I79" i="4"/>
  <c r="G79" i="4"/>
  <c r="J78" i="4"/>
  <c r="I78" i="4"/>
  <c r="G78" i="4"/>
  <c r="J77" i="4"/>
  <c r="I77" i="4"/>
  <c r="G77" i="4" s="1"/>
  <c r="I76" i="4"/>
  <c r="J76" i="4" s="1"/>
  <c r="G76" i="4"/>
  <c r="I75" i="4"/>
  <c r="J75" i="4" s="1"/>
  <c r="J74" i="4"/>
  <c r="I74" i="4"/>
  <c r="G74" i="4" s="1"/>
  <c r="I73" i="4"/>
  <c r="I72" i="4"/>
  <c r="G72" i="4" s="1"/>
  <c r="J71" i="4"/>
  <c r="I71" i="4"/>
  <c r="G71" i="4"/>
  <c r="J70" i="4"/>
  <c r="I70" i="4"/>
  <c r="G70" i="4"/>
  <c r="J69" i="4"/>
  <c r="I69" i="4"/>
  <c r="G69" i="4" s="1"/>
  <c r="I68" i="4"/>
  <c r="J68" i="4" s="1"/>
  <c r="G68" i="4"/>
  <c r="I67" i="4"/>
  <c r="J67" i="4" s="1"/>
  <c r="J66" i="4"/>
  <c r="I66" i="4"/>
  <c r="G66" i="4" s="1"/>
  <c r="J65" i="4"/>
  <c r="I65" i="4"/>
  <c r="G65" i="4" s="1"/>
  <c r="J64" i="4"/>
  <c r="I64" i="4"/>
  <c r="G64" i="4"/>
  <c r="J63" i="4"/>
  <c r="I63" i="4"/>
  <c r="G63" i="4"/>
  <c r="J62" i="4"/>
  <c r="I62" i="4"/>
  <c r="G62" i="4"/>
  <c r="I61" i="4"/>
  <c r="J61" i="4" s="1"/>
  <c r="I60" i="4"/>
  <c r="J60" i="4" s="1"/>
  <c r="I59" i="4"/>
  <c r="J59" i="4" s="1"/>
  <c r="J58" i="4"/>
  <c r="I58" i="4"/>
  <c r="G58" i="4" s="1"/>
  <c r="J57" i="4"/>
  <c r="I57" i="4"/>
  <c r="G57" i="4" s="1"/>
  <c r="J56" i="4"/>
  <c r="I56" i="4"/>
  <c r="G56" i="4"/>
  <c r="J55" i="4"/>
  <c r="I55" i="4"/>
  <c r="G55" i="4"/>
  <c r="J54" i="4"/>
  <c r="I54" i="4"/>
  <c r="G54" i="4"/>
  <c r="I53" i="4"/>
  <c r="G53" i="4" s="1"/>
  <c r="I52" i="4"/>
  <c r="J52" i="4" s="1"/>
  <c r="I51" i="4"/>
  <c r="J51" i="4" s="1"/>
  <c r="J50" i="4"/>
  <c r="I50" i="4"/>
  <c r="G50" i="4"/>
  <c r="I49" i="4"/>
  <c r="J49" i="4" s="1"/>
  <c r="J48" i="4"/>
  <c r="I48" i="4"/>
  <c r="G48" i="4"/>
  <c r="I47" i="4"/>
  <c r="G47" i="4" s="1"/>
  <c r="J46" i="4"/>
  <c r="I46" i="4"/>
  <c r="G46" i="4"/>
  <c r="I45" i="4"/>
  <c r="J45" i="4" s="1"/>
  <c r="J44" i="4"/>
  <c r="I44" i="4"/>
  <c r="G44" i="4"/>
  <c r="I43" i="4"/>
  <c r="J43" i="4" s="1"/>
  <c r="J42" i="4"/>
  <c r="I42" i="4"/>
  <c r="G42" i="4"/>
  <c r="I41" i="4"/>
  <c r="J41" i="4" s="1"/>
  <c r="J40" i="4"/>
  <c r="I40" i="4"/>
  <c r="G40" i="4"/>
  <c r="I39" i="4"/>
  <c r="G39" i="4" s="1"/>
  <c r="J38" i="4"/>
  <c r="I38" i="4"/>
  <c r="G38" i="4"/>
  <c r="I37" i="4"/>
  <c r="J37" i="4" s="1"/>
  <c r="J36" i="4"/>
  <c r="I36" i="4"/>
  <c r="G36" i="4"/>
  <c r="I35" i="4"/>
  <c r="J35" i="4" s="1"/>
  <c r="J34" i="4"/>
  <c r="I34" i="4"/>
  <c r="G34" i="4"/>
  <c r="I33" i="4"/>
  <c r="J33" i="4" s="1"/>
  <c r="J32" i="4"/>
  <c r="I32" i="4"/>
  <c r="G32" i="4"/>
  <c r="I31" i="4"/>
  <c r="G31" i="4" s="1"/>
  <c r="J30" i="4"/>
  <c r="I30" i="4"/>
  <c r="G30" i="4"/>
  <c r="I29" i="4"/>
  <c r="J29" i="4" s="1"/>
  <c r="J28" i="4"/>
  <c r="I28" i="4"/>
  <c r="G28" i="4"/>
  <c r="I27" i="4"/>
  <c r="J27" i="4" s="1"/>
  <c r="J26" i="4"/>
  <c r="I26" i="4"/>
  <c r="G26" i="4"/>
  <c r="I25" i="4"/>
  <c r="J25" i="4" s="1"/>
  <c r="J24" i="4"/>
  <c r="I24" i="4"/>
  <c r="G24" i="4"/>
  <c r="I23" i="4"/>
  <c r="G23" i="4" s="1"/>
  <c r="J22" i="4"/>
  <c r="I22" i="4"/>
  <c r="G22" i="4"/>
  <c r="I21" i="4"/>
  <c r="J21" i="4" s="1"/>
  <c r="J20" i="4"/>
  <c r="I20" i="4"/>
  <c r="G20" i="4"/>
  <c r="I19" i="4"/>
  <c r="J19" i="4" s="1"/>
  <c r="J18" i="4"/>
  <c r="I18" i="4"/>
  <c r="G18" i="4"/>
  <c r="I17" i="4"/>
  <c r="J17" i="4" s="1"/>
  <c r="J16" i="4"/>
  <c r="I16" i="4"/>
  <c r="G16" i="4"/>
  <c r="I15" i="4"/>
  <c r="G15" i="4" s="1"/>
  <c r="J14" i="4"/>
  <c r="I14" i="4"/>
  <c r="G14" i="4"/>
  <c r="I13" i="4"/>
  <c r="J13" i="4" s="1"/>
  <c r="J12" i="4"/>
  <c r="I12" i="4"/>
  <c r="G12" i="4"/>
  <c r="I11" i="4"/>
  <c r="J11" i="4" s="1"/>
  <c r="J10" i="4"/>
  <c r="I10" i="4"/>
  <c r="G10" i="4"/>
  <c r="I9" i="4"/>
  <c r="J9" i="4" s="1"/>
  <c r="J8" i="4"/>
  <c r="I8" i="4"/>
  <c r="G8" i="4"/>
  <c r="I7" i="4"/>
  <c r="G7" i="4" s="1"/>
  <c r="J6" i="4"/>
  <c r="I6" i="4"/>
  <c r="G6" i="4"/>
  <c r="I5" i="4"/>
  <c r="J5" i="4" s="1"/>
  <c r="J4" i="4"/>
  <c r="I4" i="4"/>
  <c r="G4" i="4"/>
  <c r="I3" i="4"/>
  <c r="G3" i="4" s="1"/>
  <c r="F53" i="3"/>
  <c r="J52" i="3"/>
  <c r="I52" i="3"/>
  <c r="G52" i="3"/>
  <c r="I51" i="3"/>
  <c r="J51" i="3" s="1"/>
  <c r="J50" i="3"/>
  <c r="I50" i="3"/>
  <c r="G50" i="3"/>
  <c r="I49" i="3"/>
  <c r="J49" i="3" s="1"/>
  <c r="J48" i="3"/>
  <c r="I48" i="3"/>
  <c r="G48" i="3"/>
  <c r="I47" i="3"/>
  <c r="J47" i="3" s="1"/>
  <c r="J46" i="3"/>
  <c r="I46" i="3"/>
  <c r="G46" i="3"/>
  <c r="I45" i="3"/>
  <c r="G45" i="3" s="1"/>
  <c r="J44" i="3"/>
  <c r="I44" i="3"/>
  <c r="G44" i="3"/>
  <c r="I43" i="3"/>
  <c r="J43" i="3" s="1"/>
  <c r="J42" i="3"/>
  <c r="I42" i="3"/>
  <c r="G42" i="3"/>
  <c r="I41" i="3"/>
  <c r="J41" i="3" s="1"/>
  <c r="J40" i="3"/>
  <c r="I40" i="3"/>
  <c r="G40" i="3"/>
  <c r="I39" i="3"/>
  <c r="J39" i="3" s="1"/>
  <c r="G39" i="3"/>
  <c r="J38" i="3"/>
  <c r="I38" i="3"/>
  <c r="G38" i="3"/>
  <c r="I37" i="3"/>
  <c r="G37" i="3" s="1"/>
  <c r="J36" i="3"/>
  <c r="I36" i="3"/>
  <c r="G36" i="3"/>
  <c r="I35" i="3"/>
  <c r="J35" i="3" s="1"/>
  <c r="G35" i="3"/>
  <c r="J34" i="3"/>
  <c r="I34" i="3"/>
  <c r="G34" i="3"/>
  <c r="I33" i="3"/>
  <c r="J33" i="3" s="1"/>
  <c r="J32" i="3"/>
  <c r="I32" i="3"/>
  <c r="G32" i="3"/>
  <c r="I31" i="3"/>
  <c r="J31" i="3" s="1"/>
  <c r="J30" i="3"/>
  <c r="I30" i="3"/>
  <c r="G30" i="3"/>
  <c r="I29" i="3"/>
  <c r="G29" i="3" s="1"/>
  <c r="J28" i="3"/>
  <c r="I28" i="3"/>
  <c r="G28" i="3"/>
  <c r="I27" i="3"/>
  <c r="J27" i="3" s="1"/>
  <c r="J26" i="3"/>
  <c r="I26" i="3"/>
  <c r="G26" i="3"/>
  <c r="I25" i="3"/>
  <c r="J25" i="3" s="1"/>
  <c r="J24" i="3"/>
  <c r="I24" i="3"/>
  <c r="G24" i="3"/>
  <c r="I23" i="3"/>
  <c r="J23" i="3" s="1"/>
  <c r="J22" i="3"/>
  <c r="I22" i="3"/>
  <c r="G22" i="3"/>
  <c r="I21" i="3"/>
  <c r="G21" i="3" s="1"/>
  <c r="J20" i="3"/>
  <c r="I20" i="3"/>
  <c r="G20" i="3"/>
  <c r="I19" i="3"/>
  <c r="J19" i="3" s="1"/>
  <c r="G19" i="3"/>
  <c r="J18" i="3"/>
  <c r="I18" i="3"/>
  <c r="G18" i="3"/>
  <c r="I17" i="3"/>
  <c r="J17" i="3" s="1"/>
  <c r="G17" i="3"/>
  <c r="J16" i="3"/>
  <c r="I16" i="3"/>
  <c r="G16" i="3"/>
  <c r="I15" i="3"/>
  <c r="J15" i="3" s="1"/>
  <c r="J14" i="3"/>
  <c r="I14" i="3"/>
  <c r="G14" i="3"/>
  <c r="I13" i="3"/>
  <c r="G13" i="3" s="1"/>
  <c r="J12" i="3"/>
  <c r="I12" i="3"/>
  <c r="G12" i="3"/>
  <c r="I11" i="3"/>
  <c r="J11" i="3" s="1"/>
  <c r="G11" i="3"/>
  <c r="J10" i="3"/>
  <c r="I10" i="3"/>
  <c r="G10" i="3"/>
  <c r="I9" i="3"/>
  <c r="J9" i="3" s="1"/>
  <c r="J8" i="3"/>
  <c r="I8" i="3"/>
  <c r="G8" i="3"/>
  <c r="I7" i="3"/>
  <c r="J7" i="3" s="1"/>
  <c r="J6" i="3"/>
  <c r="I6" i="3"/>
  <c r="G6" i="3"/>
  <c r="I5" i="3"/>
  <c r="G5" i="3" s="1"/>
  <c r="J4" i="3"/>
  <c r="I4" i="3"/>
  <c r="G4" i="3"/>
  <c r="I3" i="3"/>
  <c r="J3" i="3" s="1"/>
  <c r="E61" i="2"/>
  <c r="F58" i="2"/>
  <c r="G57" i="2"/>
  <c r="F55" i="2"/>
  <c r="G54" i="2"/>
  <c r="G53" i="2"/>
  <c r="F53" i="2"/>
  <c r="G52" i="2"/>
  <c r="F52" i="2"/>
  <c r="G51" i="2"/>
  <c r="G50" i="2"/>
  <c r="F50" i="2"/>
  <c r="G49" i="2"/>
  <c r="F49" i="2"/>
  <c r="G48" i="2"/>
  <c r="F48" i="2"/>
  <c r="G47" i="2"/>
  <c r="F47" i="2"/>
  <c r="G46" i="2"/>
  <c r="F46" i="2"/>
  <c r="G45" i="2"/>
  <c r="F44" i="2"/>
  <c r="G43" i="2"/>
  <c r="F43" i="2"/>
  <c r="G42" i="2"/>
  <c r="G61" i="2" s="1"/>
  <c r="F42" i="2"/>
  <c r="G41" i="2"/>
  <c r="F40" i="2"/>
  <c r="F39" i="2"/>
  <c r="F38" i="2"/>
  <c r="F37" i="2"/>
  <c r="F36" i="2"/>
  <c r="F35" i="2"/>
  <c r="F34" i="2"/>
  <c r="G33" i="2"/>
  <c r="F32" i="2"/>
  <c r="F31" i="2"/>
  <c r="F30" i="2"/>
  <c r="F29" i="2"/>
  <c r="F28" i="2"/>
  <c r="F61" i="2" s="1"/>
  <c r="G3" i="3" l="1"/>
  <c r="J5" i="3"/>
  <c r="J53" i="3" s="1"/>
  <c r="J13" i="3"/>
  <c r="J21" i="3"/>
  <c r="G27" i="3"/>
  <c r="J29" i="3"/>
  <c r="J37" i="3"/>
  <c r="G43" i="3"/>
  <c r="J45" i="3"/>
  <c r="G51" i="3"/>
  <c r="I53" i="3"/>
  <c r="G5" i="4"/>
  <c r="G165" i="4" s="1"/>
  <c r="J7" i="4"/>
  <c r="G13" i="4"/>
  <c r="J15" i="4"/>
  <c r="G21" i="4"/>
  <c r="J23" i="4"/>
  <c r="G29" i="4"/>
  <c r="J31" i="4"/>
  <c r="G37" i="4"/>
  <c r="J39" i="4"/>
  <c r="G45" i="4"/>
  <c r="J47" i="4"/>
  <c r="J53" i="4"/>
  <c r="G60" i="4"/>
  <c r="J72" i="4"/>
  <c r="G80" i="4"/>
  <c r="G73" i="4"/>
  <c r="J73" i="4"/>
  <c r="G9" i="3"/>
  <c r="G25" i="3"/>
  <c r="G33" i="3"/>
  <c r="G41" i="3"/>
  <c r="G49" i="3"/>
  <c r="G11" i="4"/>
  <c r="G19" i="4"/>
  <c r="G27" i="4"/>
  <c r="G35" i="4"/>
  <c r="G43" i="4"/>
  <c r="G51" i="4"/>
  <c r="G61" i="4"/>
  <c r="G67" i="4"/>
  <c r="I165" i="4"/>
  <c r="G81" i="4"/>
  <c r="J81" i="4"/>
  <c r="J79" i="6"/>
  <c r="G79" i="6"/>
  <c r="G7" i="3"/>
  <c r="G15" i="3"/>
  <c r="G23" i="3"/>
  <c r="G31" i="3"/>
  <c r="G47" i="3"/>
  <c r="J3" i="4"/>
  <c r="G9" i="4"/>
  <c r="G17" i="4"/>
  <c r="G25" i="4"/>
  <c r="G33" i="4"/>
  <c r="G41" i="4"/>
  <c r="G49" i="4"/>
  <c r="G52" i="4"/>
  <c r="G75" i="4"/>
  <c r="J81" i="6"/>
  <c r="G81" i="6"/>
  <c r="G59" i="4"/>
  <c r="G83" i="4"/>
  <c r="J89" i="4"/>
  <c r="J102" i="4"/>
  <c r="J110" i="4"/>
  <c r="J118" i="4"/>
  <c r="J126" i="4"/>
  <c r="J134" i="4"/>
  <c r="J142" i="4"/>
  <c r="J150" i="4"/>
  <c r="J158" i="4"/>
  <c r="J8" i="5"/>
  <c r="J148" i="5" s="1"/>
  <c r="J95" i="5"/>
  <c r="G98" i="5"/>
  <c r="J100" i="5"/>
  <c r="J108" i="5"/>
  <c r="J116" i="5"/>
  <c r="I148" i="5"/>
  <c r="J54" i="6"/>
  <c r="G57" i="6"/>
  <c r="J61" i="6"/>
  <c r="J69" i="6"/>
  <c r="J77" i="6"/>
  <c r="G95" i="4"/>
  <c r="G80" i="6"/>
  <c r="J87" i="6"/>
  <c r="G176" i="7"/>
  <c r="G221" i="8"/>
  <c r="G50" i="6"/>
  <c r="G65" i="6"/>
  <c r="G73" i="6"/>
  <c r="J99" i="6"/>
  <c r="G106" i="6"/>
  <c r="G177" i="6"/>
  <c r="G196" i="6"/>
  <c r="I216" i="7"/>
  <c r="G3" i="7"/>
  <c r="I245" i="6"/>
  <c r="G137" i="6"/>
  <c r="G178" i="6"/>
  <c r="J178" i="6"/>
  <c r="J3" i="7"/>
  <c r="J43" i="7"/>
  <c r="G70" i="7"/>
  <c r="G136" i="7"/>
  <c r="G184" i="7"/>
  <c r="J221" i="8"/>
  <c r="G91" i="4"/>
  <c r="G96" i="4"/>
  <c r="G120" i="4"/>
  <c r="G128" i="4"/>
  <c r="G136" i="4"/>
  <c r="G10" i="5"/>
  <c r="G148" i="5" s="1"/>
  <c r="G60" i="5"/>
  <c r="G97" i="5"/>
  <c r="G102" i="5"/>
  <c r="G110" i="5"/>
  <c r="G118" i="5"/>
  <c r="J245" i="6"/>
  <c r="G48" i="6"/>
  <c r="G245" i="6" s="1"/>
  <c r="G56" i="6"/>
  <c r="G63" i="6"/>
  <c r="G71" i="6"/>
  <c r="G86" i="6"/>
  <c r="G97" i="6"/>
  <c r="G145" i="6"/>
  <c r="G169" i="6"/>
  <c r="G204" i="6"/>
  <c r="G14" i="7"/>
  <c r="G78" i="7"/>
  <c r="G144" i="7"/>
  <c r="G185" i="6"/>
  <c r="G22" i="7"/>
  <c r="J83" i="7"/>
  <c r="G152" i="7"/>
  <c r="G98" i="6"/>
  <c r="G160" i="7"/>
  <c r="F216" i="7"/>
  <c r="G111" i="6"/>
  <c r="G127" i="6"/>
  <c r="G143" i="6"/>
  <c r="G151" i="6"/>
  <c r="G167" i="6"/>
  <c r="G197" i="6"/>
  <c r="G205" i="6"/>
  <c r="G229" i="6"/>
  <c r="G7" i="7"/>
  <c r="G15" i="7"/>
  <c r="G23" i="7"/>
  <c r="G31" i="7"/>
  <c r="G39" i="7"/>
  <c r="G47" i="7"/>
  <c r="G71" i="7"/>
  <c r="G79" i="7"/>
  <c r="G87" i="7"/>
  <c r="G129" i="7"/>
  <c r="G137" i="7"/>
  <c r="G145" i="7"/>
  <c r="G153" i="7"/>
  <c r="G161" i="7"/>
  <c r="G169" i="7"/>
  <c r="G177" i="7"/>
  <c r="G180" i="6"/>
  <c r="G182" i="6"/>
  <c r="G184" i="6"/>
  <c r="G186" i="6"/>
  <c r="G188" i="6"/>
  <c r="G190" i="6"/>
  <c r="G127" i="7"/>
  <c r="J165" i="4" l="1"/>
  <c r="J216" i="7"/>
  <c r="G53" i="3"/>
  <c r="G216" i="7"/>
</calcChain>
</file>

<file path=xl/sharedStrings.xml><?xml version="1.0" encoding="utf-8"?>
<sst xmlns="http://schemas.openxmlformats.org/spreadsheetml/2006/main" count="2595" uniqueCount="993">
  <si>
    <t>PARA FORMAR PRECATÓRIOS</t>
  </si>
  <si>
    <t>PRECATÓRIOS 2012</t>
  </si>
  <si>
    <t>PRECATÓRIOS 2013</t>
  </si>
  <si>
    <t>Processo</t>
  </si>
  <si>
    <t>ORDEM</t>
  </si>
  <si>
    <t>PROC</t>
  </si>
  <si>
    <t>Tipo</t>
  </si>
  <si>
    <t>EMB</t>
  </si>
  <si>
    <t>Data Ajuiz.</t>
  </si>
  <si>
    <t>Precatório</t>
  </si>
  <si>
    <t>Autor</t>
  </si>
  <si>
    <t>Valor</t>
  </si>
  <si>
    <t>Hon. Cont.</t>
  </si>
  <si>
    <t>% Suc.</t>
  </si>
  <si>
    <t>Hon. Suc.</t>
  </si>
  <si>
    <t>Hon. HT</t>
  </si>
  <si>
    <t>OBSERVAÇÕES</t>
  </si>
  <si>
    <t>PUSH</t>
  </si>
  <si>
    <t>VARA</t>
  </si>
  <si>
    <t>AUTORES</t>
  </si>
  <si>
    <t>VALOR</t>
  </si>
  <si>
    <t>OBS</t>
  </si>
  <si>
    <t>Reclassificação</t>
  </si>
  <si>
    <t>3VF</t>
  </si>
  <si>
    <t>MARIA DO AMPARO DIAS RODRIGUES E OUTRAS</t>
  </si>
  <si>
    <t>Valdelice Martins da Silva</t>
  </si>
  <si>
    <t>Requerer homologação dos cálculos.</t>
  </si>
  <si>
    <t>2VF</t>
  </si>
  <si>
    <t>LISDALVA PEREIRA DE ARAUJO E OUTROS</t>
  </si>
  <si>
    <t>FRANCISCA ALMEIDA SANTOS E OUTRAS</t>
  </si>
  <si>
    <t>Atualizar cálculos para formar precatório complementar.</t>
  </si>
  <si>
    <t>Recebido</t>
  </si>
  <si>
    <t>LUIZ HENRIQUE FALCÃO TEIXEIRA</t>
  </si>
  <si>
    <t>MARIA DO SOCORRO ARAÚJO GUEDES</t>
  </si>
  <si>
    <t>EUNICE LOIDE DA SILVA CHAVES E OUTROS  </t>
  </si>
  <si>
    <t>SAMUEL DE JESUS SILVA LIMA E OUTROS</t>
  </si>
  <si>
    <t>DELMA RODRIGUES BARBOSA E OUTROS</t>
  </si>
  <si>
    <t>MARIA ISABEL ARAUJO GOMES</t>
  </si>
  <si>
    <t>CÓPIAS TIRADAS</t>
  </si>
  <si>
    <t>ALMIRA ARLETE PEREIRA DE OLIVEIRA E OUTROS</t>
  </si>
  <si>
    <t>ANTONIA CLEUDIMAR SOUSA MENEZES E OUTROS</t>
  </si>
  <si>
    <t>INA SANTOS MENDES E OUTROS</t>
  </si>
  <si>
    <t>PRECATÓRIO DE LIANE PEREIRA MAIA DEVOLVIDO</t>
  </si>
  <si>
    <t>5VF</t>
  </si>
  <si>
    <t>LEDA MARIA SOUSA ALMEIDA E OUTROS</t>
  </si>
  <si>
    <t>MARIA ALICE LOPES DE ARAUJO CONCEICAO E OUTROS</t>
  </si>
  <si>
    <t>1VF</t>
  </si>
  <si>
    <t>ADNILDE COSTA MOREIRA E OUTRAS</t>
  </si>
  <si>
    <t>Enviar para contadoria</t>
  </si>
  <si>
    <t>Elenita Santana Nojosa Cruz e Cleudimar Lima Duarte de Melo</t>
  </si>
  <si>
    <t>Verificar no TJ se precatório foi formado. Processo no escritório.</t>
  </si>
  <si>
    <t>LAURA DE OLIVEIRA MACEDO E OUTROS</t>
  </si>
  <si>
    <t>MARIA LOURDINEY FERREIRA CARNEIRO E OUTROS</t>
  </si>
  <si>
    <t>MARIA DA PENHA CUTRIM MILEN E OUTROS</t>
  </si>
  <si>
    <t>ANTÔNIO CARLOS DO ROSÁRIO SILVA</t>
  </si>
  <si>
    <t>LUZILDES ALMEIDA ABREU</t>
  </si>
  <si>
    <t>4VF</t>
  </si>
  <si>
    <t>CLAUDIA ALESSANDRA RIBEIRO DOS SANTOS E OUTROS</t>
  </si>
  <si>
    <t>Publicar sentença dos embargos e enviar pra contadoria.</t>
  </si>
  <si>
    <t>CALIXTO AMORIM GOMES E OUTROS</t>
  </si>
  <si>
    <t>EDILEUDA MARIA COSTA SOUSA E OUTROS</t>
  </si>
  <si>
    <t>MIRIAN CASTRO SILVA E OUTROS</t>
  </si>
  <si>
    <t>LUCIA MARIA CASTRO FREIRE</t>
  </si>
  <si>
    <t>SIMONE MARTINS NASCIMENTO</t>
  </si>
  <si>
    <t>MARLENE MATIAS PASSOS DE OLIVEIRA</t>
  </si>
  <si>
    <t>ANTÔNIA MATIAS LIRA DE MEIRELES</t>
  </si>
  <si>
    <t>ANTÔNIO IVAN BEZERRA DO NASCIMENTO</t>
  </si>
  <si>
    <t>FRANCISCA MARIA CARVALHO DE SOUSA E OUTROS</t>
  </si>
  <si>
    <t>LINILDES GONÇALVES DOS SANTOS</t>
  </si>
  <si>
    <t>ROGERIA MARIA LIMA COSTA CUNHA</t>
  </si>
  <si>
    <t>LUIZ HENRIQUE FALCAO TEIXEIRA E OUTROS</t>
  </si>
  <si>
    <t>MARIA IRACEMA MIRANDA RIBEIRO</t>
  </si>
  <si>
    <t>ALZIRA PEREIRA DE SOUSA E OUTROS</t>
  </si>
  <si>
    <t>EFIGENIA COSTA RAPOSO</t>
  </si>
  <si>
    <t>MARIA DA SOLEDADE SILVA SERRA</t>
  </si>
  <si>
    <t>GUTEMBERG SOARES CARNEIRO</t>
  </si>
  <si>
    <t>ANGELA MARIA SAMPAIO BEZERRA E OUTROS</t>
  </si>
  <si>
    <t>MARIA DO SOCORRO ARAUJO GUEDES</t>
  </si>
  <si>
    <t>HELOIZA PIRES MARTINS DOS SANTOS</t>
  </si>
  <si>
    <t>OK</t>
  </si>
  <si>
    <t>DIRCE DO SOCORO RIBEIRO ALVES E OUTROS</t>
  </si>
  <si>
    <t>SIM</t>
  </si>
  <si>
    <t>MARIA MARLENE FRAZÃO CRUZ</t>
  </si>
  <si>
    <t>JULE ESTRELA E OUTROS</t>
  </si>
  <si>
    <t>TARCIANA COÊLHO SILVA</t>
  </si>
  <si>
    <t>-</t>
  </si>
  <si>
    <t>MARIA NAZARE MARTINS LIMA</t>
  </si>
  <si>
    <t>TIRAR CÓPIAS</t>
  </si>
  <si>
    <t>LUIZ  HENRIQUE FALCÃO TEIXEIRA</t>
  </si>
  <si>
    <t>MARIA CAVALCANTE DE SOUSA E OUTROS</t>
  </si>
  <si>
    <t>AGUARDANDO RESOLUÇÃO DE LITISPENDÊNCIA</t>
  </si>
  <si>
    <t>JOSÉ ATAILSON PEREIRA DOS SANTOS</t>
  </si>
  <si>
    <t>MARIA RAIMUNDA MONTEIRO DOS SANTOS E OUTROS</t>
  </si>
  <si>
    <t>MARGARETH COIMBRA BELLO</t>
  </si>
  <si>
    <t>ADRIANA COSTA SOARES LIMA</t>
  </si>
  <si>
    <t>FRANCISCA SAMPAIO MENDES</t>
  </si>
  <si>
    <t>ADRIANA DANTAS NOBREGA</t>
  </si>
  <si>
    <t>OLIVIA SAMPAIO MELO GOMES</t>
  </si>
  <si>
    <t>AGNALDO REIS DOS SANTOS</t>
  </si>
  <si>
    <t>MARIA DE FÁTIMA DE JESUS</t>
  </si>
  <si>
    <t>ALCIONE GUSMÃO DE MELO</t>
  </si>
  <si>
    <t>ALMIRA VIEIRA DE OLIVEIRA</t>
  </si>
  <si>
    <t>ANTONIA DE ARAUJO NASCIMENTO</t>
  </si>
  <si>
    <t>CARLA NEYLENE RODRIGUES DA SILVA</t>
  </si>
  <si>
    <t>CLAUDECY CAMPOS NUNES</t>
  </si>
  <si>
    <t>FABIO MARTINS DA SILVA</t>
  </si>
  <si>
    <t>ANNY KERLEN COSTA PEIXOTO SILVA E OUTROS</t>
  </si>
  <si>
    <t>CATIA MARIA PEREIRA VARAO DE OLIVEIRA E OUTROS</t>
  </si>
  <si>
    <t>CONCEICAO DE MARIA MESQUITA DE MESQUITA E OUTROS</t>
  </si>
  <si>
    <t>JOSELIA PEREIRA CAMPOS E OUTROS</t>
  </si>
  <si>
    <t>CURURUPU</t>
  </si>
  <si>
    <t>JOAO DE SÁ CARDOSO</t>
  </si>
  <si>
    <t>DETERMINADA EXPEDIÇÃO DE PRECATÓRIOS</t>
  </si>
  <si>
    <t>CRISTINA ROSA CHAVES SANTOS E OUTROS</t>
  </si>
  <si>
    <t>VERIFICAR EXPEDIÇÃO DE OFÍCIOS</t>
  </si>
  <si>
    <t>ROSILDA COSTA CAIRES E OUTROS</t>
  </si>
  <si>
    <t>REQUERER HOMOLOGAÇÃO DOS CÁLCULOS</t>
  </si>
  <si>
    <t>VERA LUCIA DE MELO</t>
  </si>
  <si>
    <t>TERESINHA DE JESUS FRAZAO CHAVES</t>
  </si>
  <si>
    <t>Maria José Alves Oliveira</t>
  </si>
  <si>
    <t>LUCIA FEITOSA PIRES</t>
  </si>
  <si>
    <t>PRECATÓRIOS 2014</t>
  </si>
  <si>
    <t>MÁRCIA ROCHA DA FONSECA</t>
  </si>
  <si>
    <t>TEODOLINA DAMIANA PAIXÃO REGO</t>
  </si>
  <si>
    <t>MARIA LUZIA BORGES DE SOUSA</t>
  </si>
  <si>
    <t>LUZIA LINS PEREIRA</t>
  </si>
  <si>
    <t>RAIMUNDA BATISTA DOS SANTOS ROSA</t>
  </si>
  <si>
    <t>LUCIBELE OLIVEIRA MORAES SOARES</t>
  </si>
  <si>
    <t>Recebido por Gutemberg. Feita cobrança.</t>
  </si>
  <si>
    <t>ROSA DOS SANTOS BARBOSA</t>
  </si>
  <si>
    <t>SAGRAMOR DE JESUS SILVA AMORIM</t>
  </si>
  <si>
    <t>EDNA SARAIVA OLIVEIRA</t>
  </si>
  <si>
    <t>MARIA DO ROSÁRIO DE FÁTIMA SILVA MACIEL</t>
  </si>
  <si>
    <t>MARILENE SANTOS CAMPOS</t>
  </si>
  <si>
    <t>Observações</t>
  </si>
  <si>
    <t>INTEGRA</t>
  </si>
  <si>
    <t>CREUSA DA SILVA BESERRA</t>
  </si>
  <si>
    <t>RITA FERNANDES LOPES</t>
  </si>
  <si>
    <t>LUIZ  HENRIQUE  FALCÃO  TEIXEIRA</t>
  </si>
  <si>
    <t>Inete Maria Pereira Fernandes</t>
  </si>
  <si>
    <t>MARIA ODETE DE SOUSA MACEDO E ELIZETE RODRIGUES SILVA E SILVA</t>
  </si>
  <si>
    <t>Rosângela Pedroso Costa</t>
  </si>
  <si>
    <t>José de Matos Oliveira</t>
  </si>
  <si>
    <t>CÍCERA MAGALHÃES OLIVEIRA E OUTRAS</t>
  </si>
  <si>
    <t>Maria do Socorro Pereira Silva</t>
  </si>
  <si>
    <t>ANTONIO SETE ROCHA DO LAGO E OUTROS</t>
  </si>
  <si>
    <t>LUIS JARDIM PEREIRA</t>
  </si>
  <si>
    <t>Raimunda Pereira Pinto</t>
  </si>
  <si>
    <t>RECEBIDO PARTE DO CRÉDITO. PRIORIDADE.</t>
  </si>
  <si>
    <t>Recebido. Autor falecido, Fernanda fez inventário.</t>
  </si>
  <si>
    <t>ANA THEREZA RIBEIRO DANTAS</t>
  </si>
  <si>
    <t>Gildete Silva Oliveira</t>
  </si>
  <si>
    <t>FRANCISCA BENIGNA SILVA OLIVEIRA</t>
  </si>
  <si>
    <t>REGINALVA COELHO LOPES E OUTRAS</t>
  </si>
  <si>
    <t>Almerice de Lourdes Ferreira da Silva e outras</t>
  </si>
  <si>
    <t>FRANCISCA MOREIRA FERREIRA E OUTRAS</t>
  </si>
  <si>
    <t>ROSÁRIO DE MARIA MARQUES LIMA</t>
  </si>
  <si>
    <t>ALZENEIDE VIEIRA SOARES E OUTRAS</t>
  </si>
  <si>
    <t>Geralda Rocha Santos</t>
  </si>
  <si>
    <t>Luiz Henrique Falcão Teixeira</t>
  </si>
  <si>
    <t>LUISLEIA PEREIRA DA COSTA E OUTROS</t>
  </si>
  <si>
    <t>LUSILENE BRANDÃO M. PINTO</t>
  </si>
  <si>
    <t>PRECATÓRIO DEVOLVIDO. PRECATÓRIO NOVO 303752015.</t>
  </si>
  <si>
    <t>LANE ROSÁRIO LEÃO PINTO E OUTROS</t>
  </si>
  <si>
    <t>RAIMUNDO MOTA</t>
  </si>
  <si>
    <t>Malvina Linhares da Conceição</t>
  </si>
  <si>
    <t>RECEBIDO CRÉDITO. PRIORIDADE.</t>
  </si>
  <si>
    <t>NEIDE MARIA MELO SILVA</t>
  </si>
  <si>
    <t>Simone de Fátima Ferreira Passos</t>
  </si>
  <si>
    <t>Antonia Selma de Oliveira Trajano</t>
  </si>
  <si>
    <t>Ester Passos Feitosa</t>
  </si>
  <si>
    <t>ANTONIO HERNANDES DE OLIVEIRA BARBOSA E OUTROS</t>
  </si>
  <si>
    <t>MARIANA SILVA DO NASCIMENTO E OUTRA</t>
  </si>
  <si>
    <t>Precatório parado. Sem ofício de inclusão no orçamento. Requeremos Prioridade em 08/07/2015.</t>
  </si>
  <si>
    <t>Lucivalda Nogueira Diniz</t>
  </si>
  <si>
    <t>LUCILEIA ALMEIDA</t>
  </si>
  <si>
    <t>TOTAL</t>
  </si>
  <si>
    <t>Ana Rosa Aroucha</t>
  </si>
  <si>
    <t>MARIA ALMEIDA FONSECA</t>
  </si>
  <si>
    <t>Selma Nolly Lins Caldas</t>
  </si>
  <si>
    <t>Ana Roberta do Espirito Santo</t>
  </si>
  <si>
    <t>José Eduardo Simões Ferreira</t>
  </si>
  <si>
    <t>Ariádina Pereira Reis</t>
  </si>
  <si>
    <t xml:space="preserve">Hilda Lima dos Passos </t>
  </si>
  <si>
    <t>Maracy Silva de Castro</t>
  </si>
  <si>
    <t>PRECATÓRIOS 2015</t>
  </si>
  <si>
    <t>Léia de Jesus de Souza</t>
  </si>
  <si>
    <t xml:space="preserve">Jacimar das Graças de Maria Serra </t>
  </si>
  <si>
    <t>CONTRA MUNICÍPIO DE SÃO LUÍS. RECEBIDO.</t>
  </si>
  <si>
    <t>Maria Francelina Pereira dos Santos</t>
  </si>
  <si>
    <t>Maria das Graças Cardoso de Oliveira</t>
  </si>
  <si>
    <t>Ley-Vane Rodrigues de Aquino</t>
  </si>
  <si>
    <t>Derenice Sá Menezes Moraes</t>
  </si>
  <si>
    <t>Hortelice de Assunção Moura</t>
  </si>
  <si>
    <t>Marinete Setubal Silva</t>
  </si>
  <si>
    <t>ROSILENE ALVES DE CASTRO</t>
  </si>
  <si>
    <t> 213262012</t>
  </si>
  <si>
    <t xml:space="preserve">Amarina Veloso Sousa </t>
  </si>
  <si>
    <t>Terezinha Figueiredo dos Santos</t>
  </si>
  <si>
    <t>Martines Setubal Silva</t>
  </si>
  <si>
    <t>Maria Francisca Santos Rodrigues</t>
  </si>
  <si>
    <t>Alvará de prioridade recebido em 05/08/2015.</t>
  </si>
  <si>
    <t>Maria da Conceição Almeida dos Santos</t>
  </si>
  <si>
    <t>Maria Madalena Magalhães Araújo</t>
  </si>
  <si>
    <t>Tereza Cristina Costa</t>
  </si>
  <si>
    <t>Maria do Socorro Sousa Viegas</t>
  </si>
  <si>
    <t>Isolda Borba Guimarães</t>
  </si>
  <si>
    <t>Francisca da Silva e Sá</t>
  </si>
  <si>
    <t>Laurinda Santos Silva Ribeiro</t>
  </si>
  <si>
    <t>EXCLUÍDO DA PRIORIDADE POR FALTA DE DOCUMENTO</t>
  </si>
  <si>
    <t>PRECATÓRIO DEVOLVIDO POR SUPOSTO FRACIONAMENTO</t>
  </si>
  <si>
    <t>Lindalva Pestana Santos</t>
  </si>
  <si>
    <t>Antonio Gaspar Lima</t>
  </si>
  <si>
    <t>Sônia Maria Moraes Cardoso</t>
  </si>
  <si>
    <t>Maria Sonia Barbosa da Silva</t>
  </si>
  <si>
    <t>Luzimar Torres dos Santos</t>
  </si>
  <si>
    <t>MARIA ALVES DE OLIVEIRA MATOS</t>
  </si>
  <si>
    <t>Rita Barbosa de Sousa</t>
  </si>
  <si>
    <t>PRECATÓRIO DEVOLVIDO. NOVO PRECATÓRIO 182362015.</t>
  </si>
  <si>
    <t>Cleonice Gonçalves dos Santos</t>
  </si>
  <si>
    <t>Maria José Costa Vale</t>
  </si>
  <si>
    <t>OK. SUCUMBÊNCIA RECEBIDA ATRAVÉS DE RPV 20064/2012.</t>
  </si>
  <si>
    <t>CECI GOMES CABRAL DOS PASSOS</t>
  </si>
  <si>
    <t>Vitória de Fátima Chaves Araújo</t>
  </si>
  <si>
    <t>VALMA CADETE FERREIRA NUNES</t>
  </si>
  <si>
    <t>Vandira Maria Teixeira dos Santos</t>
  </si>
  <si>
    <t>Valci Miranda Silva</t>
  </si>
  <si>
    <t>Maria de Lourdes Corrêa Lobato</t>
  </si>
  <si>
    <t>Terezinha de Jesus Lima Ferreira</t>
  </si>
  <si>
    <t>Verificar devolução do ofício</t>
  </si>
  <si>
    <t>ZELIA MARIA SA SILVA</t>
  </si>
  <si>
    <t>Maria da Conceição Bezerra da Silva</t>
  </si>
  <si>
    <t>Roberta Silva Garcêz</t>
  </si>
  <si>
    <t>Marcia Costa e Gomes</t>
  </si>
  <si>
    <t>Paula Francinete Pereira Araujo</t>
  </si>
  <si>
    <t>Maria da Conceição Diniz Carvalho</t>
  </si>
  <si>
    <t>RECEBIDO PRIORIDADE PELA CLIENTE. VERIFICAR HONORÁRIOS.</t>
  </si>
  <si>
    <t>URV</t>
  </si>
  <si>
    <t>Maria do Espírito Santo Mendes Pinheiro</t>
  </si>
  <si>
    <t>Remy Fonseca Filho</t>
  </si>
  <si>
    <t>Sandra Moreira de Freitas</t>
  </si>
  <si>
    <t>Maria Nilcelene Lopes Moraes</t>
  </si>
  <si>
    <t>Valéria Thereza Bogéa Lyra</t>
  </si>
  <si>
    <t>Francisca Maria de Azevedo Silva dos Santos</t>
  </si>
  <si>
    <t>Maria de Lourdes de Lima Costa</t>
  </si>
  <si>
    <t>Lúcia do Rosário Azevêdo Silva</t>
  </si>
  <si>
    <t>MARIA DO SOCORRO FRAZAO CRUZ</t>
  </si>
  <si>
    <t>ELENA DE JESUS NASCIMENTO SILVA</t>
  </si>
  <si>
    <t>Maria Jocimar de Sousa Estrela</t>
  </si>
  <si>
    <t>Maria de Fátima Sá Martins</t>
  </si>
  <si>
    <t>VERIFICAR PAGAMENTO DE HONORÁRIOS POR RPV (R$ 13.486,71)</t>
  </si>
  <si>
    <t>ÁUREA MARIA SÁ</t>
  </si>
  <si>
    <t>Lourdilene Bastos Ribeiro</t>
  </si>
  <si>
    <t>Irlene Rego Sousa</t>
  </si>
  <si>
    <t>DEFERIDO PEDIDO DE PRIORIDADE</t>
  </si>
  <si>
    <t>Graça de Fátima Helal da Silva</t>
  </si>
  <si>
    <t>ALVARÁ PRIORITÁRIO RECEBIDO PELA CLIENTE. COBRAR.</t>
  </si>
  <si>
    <t>Olga Maria de Jesus Nogueira Soares</t>
  </si>
  <si>
    <t>Anizete Duarte Pereira</t>
  </si>
  <si>
    <t>José Ribamar Monteiro Costa</t>
  </si>
  <si>
    <t xml:space="preserve">Salome Pereira Roxo </t>
  </si>
  <si>
    <t>Aurea Margarete Santos Sousa</t>
  </si>
  <si>
    <t>Maria Raimunda Santos Moreno</t>
  </si>
  <si>
    <t>Alvará recebido pelo cliente em 20/08/2015. Feito acordo com o cliente.</t>
  </si>
  <si>
    <t>Liane Pereira Maia</t>
  </si>
  <si>
    <t>Mary Dalva Barbosa Sampaio</t>
  </si>
  <si>
    <t>Maria da Conceição do Nascimento Pinheiro</t>
  </si>
  <si>
    <t>Maria do Carmo Santana Oliveira</t>
  </si>
  <si>
    <t>PRECATÓRIOS 2016</t>
  </si>
  <si>
    <t>Maria de Lourdes Bezerra Cavalcante</t>
  </si>
  <si>
    <t>Maria Elienê Morais de Figueiredo</t>
  </si>
  <si>
    <t>Maria do Socorro Souza Viegas</t>
  </si>
  <si>
    <t>Jose Ribamar Bezerra Melo</t>
  </si>
  <si>
    <t>Silvia Regina Oliveira de Jesus Almeida</t>
  </si>
  <si>
    <t>JOSÉ DO PATRIOTINO REBELO FONSECA</t>
  </si>
  <si>
    <t xml:space="preserve">Maria de Jesus Carvalho </t>
  </si>
  <si>
    <t xml:space="preserve">Maria da Paixão Batista </t>
  </si>
  <si>
    <t>RESINIRI ASSUNCAO</t>
  </si>
  <si>
    <t>Carmosina Maria da Conceição</t>
  </si>
  <si>
    <t>Maria Carmelia de Araujo Pereira</t>
  </si>
  <si>
    <t>DILMA GOMES ARAUJO SANTOS</t>
  </si>
  <si>
    <t>MARIA IZABEL LOPES SILVA</t>
  </si>
  <si>
    <t>Rosilda Magalhães Santos</t>
  </si>
  <si>
    <t>FALTA VALOR</t>
  </si>
  <si>
    <t xml:space="preserve">Raimundo Diniz Malheiros Neto </t>
  </si>
  <si>
    <t>MARIA DE JESUS BRANDAO MORAES</t>
  </si>
  <si>
    <t xml:space="preserve">Kleber Albuquerque Neiva </t>
  </si>
  <si>
    <t>Ceila Maria Pacheco Neiva</t>
  </si>
  <si>
    <t>Benedita Santos Gomes</t>
  </si>
  <si>
    <t>Maria da Luz Rabelo Lopes</t>
  </si>
  <si>
    <t>Silenes de Jesus Cruz Cavalcante</t>
  </si>
  <si>
    <t>Maria Celina Trindade Amaral</t>
  </si>
  <si>
    <t>CARMINA VIANA DE PAULA DO VALE</t>
  </si>
  <si>
    <t>PRECATÓRIO CANCELADO PELO JUIZ COORDENADOR.</t>
  </si>
  <si>
    <t>AIRES DO SOCORRO FROES BARROS</t>
  </si>
  <si>
    <t>Maria de Fátima Santos Pinto</t>
  </si>
  <si>
    <t>Gracilene Magalhães Neves</t>
  </si>
  <si>
    <t xml:space="preserve">Midorlene Moreira da Silva </t>
  </si>
  <si>
    <t>Raimunda Penha Gomes</t>
  </si>
  <si>
    <t>Raimunda Calixto Silva</t>
  </si>
  <si>
    <t>Rita Maria de Sousa Lima</t>
  </si>
  <si>
    <t>Pedro Carmélio Costa</t>
  </si>
  <si>
    <t>Dulcenil dos Anjos Pereira Pires</t>
  </si>
  <si>
    <t>BENEDITA DA CONCEIÇÃO FROES SOARES</t>
  </si>
  <si>
    <t xml:space="preserve">Carlos Cezar Sousa de Lima </t>
  </si>
  <si>
    <t>CLÉIA NÚBIA SOUSA PIMENTA</t>
  </si>
  <si>
    <t>Maria Vitoria Barros Campos</t>
  </si>
  <si>
    <t>INÊS DEFENSORA FRÓES BOÁS</t>
  </si>
  <si>
    <t>Hildalice de Cassia Santana Dias</t>
  </si>
  <si>
    <t>Ociel Mota Limeira</t>
  </si>
  <si>
    <t>Teresinha de Jesus Rodrigues</t>
  </si>
  <si>
    <t>ROSIMEIRE QUEIROZ DE MORAIS</t>
  </si>
  <si>
    <t>MARIA LUZIA RIBEIRO CASTOR</t>
  </si>
  <si>
    <t>MARIA DE NAZARÉ DOS SANTOS SILVA</t>
  </si>
  <si>
    <t>LUZENI DAMASCENO MARQUES</t>
  </si>
  <si>
    <t>ROSILEIDE OLIVEIRA ARAUJO</t>
  </si>
  <si>
    <t>Jeová Lacerda de Paula</t>
  </si>
  <si>
    <t>Laudeci Silva Pereira</t>
  </si>
  <si>
    <t>KLÉBER MAGALHÃES PAULINO</t>
  </si>
  <si>
    <t>Celma da Silva Aguiar</t>
  </si>
  <si>
    <t>MARIA AURORA SANTOS DE SOUSA</t>
  </si>
  <si>
    <t>Selma de Jesus Souza Gomes</t>
  </si>
  <si>
    <t>JONAS FREIRE PESSOA</t>
  </si>
  <si>
    <t>FRANCISCA OLICE VILARINDO LIMA</t>
  </si>
  <si>
    <t>MÍRIAM MACEDO DA COSTA</t>
  </si>
  <si>
    <t>Sonia Maria Furtado</t>
  </si>
  <si>
    <t>ANETE GOMES BEZERRA</t>
  </si>
  <si>
    <t>INDEFERIDO PEDIDO DE PRIORIDADE</t>
  </si>
  <si>
    <t>IVONETE DOS SANTOS PEREIRA</t>
  </si>
  <si>
    <t>IRENE DA CUNHA COSTA</t>
  </si>
  <si>
    <t>DEVOLVIDO ALVARÁ DE PRIORIDADE. OUTRO ADVOGADO FEZ PETIÇÃO POR ENGANO.</t>
  </si>
  <si>
    <t>Silvia Sampaio Pontes</t>
  </si>
  <si>
    <t>MARIA DA CONCEICAO SERRA ARAUJO</t>
  </si>
  <si>
    <t>Maria Filomena Lages Souza</t>
  </si>
  <si>
    <t>Conceição de Maria Pereira Melo</t>
  </si>
  <si>
    <t>MARIA DO SOCORRO BARROS FERREIRA</t>
  </si>
  <si>
    <t>Lucimary Oliveira de Araújo</t>
  </si>
  <si>
    <t>Maria das Dores de Sousa</t>
  </si>
  <si>
    <t>Sandra Maria Borges</t>
  </si>
  <si>
    <t>MARIA FRANCISCA BORGES DA SILVA</t>
  </si>
  <si>
    <t>Janice da Silva Nery</t>
  </si>
  <si>
    <t>FLORA ELISA DOS SANTOS FERNANDES</t>
  </si>
  <si>
    <t>OLGA DE JESUS GONÇALVES DE SOUZA</t>
  </si>
  <si>
    <t>SONIA MATOS BEZERRA</t>
  </si>
  <si>
    <t>MARIA LUCIA MORAIS RODRIGUES</t>
  </si>
  <si>
    <t>LUCELINE DIAS ALMEIDA</t>
  </si>
  <si>
    <t>RAIMUNDO NONATO IRINEU FRASÃO</t>
  </si>
  <si>
    <t>MARIA DAS GRAÇAS OLIVEIRA</t>
  </si>
  <si>
    <t>LUCIMAR DE JESUS LIMEIRA CRUZ</t>
  </si>
  <si>
    <t>ELIANA DA SILVA FONSECA</t>
  </si>
  <si>
    <t>MARIA DE FATIMA BARBOSA SANTANA</t>
  </si>
  <si>
    <t>Zeila Ferradaes Vilar dos Santos</t>
  </si>
  <si>
    <t>Ferdiana Brandão Lima</t>
  </si>
  <si>
    <t>MARIA ANA LUCIA BARROS PACHECO</t>
  </si>
  <si>
    <t>Manoel Dias Coelho</t>
  </si>
  <si>
    <t>Neile de Sousa Borges</t>
  </si>
  <si>
    <t>FRANCISCA BARBOSA SILVA</t>
  </si>
  <si>
    <t>Luziam Coelho da Silva</t>
  </si>
  <si>
    <t>ROSINEIA DE FATIMA MACIEL</t>
  </si>
  <si>
    <t>Senhorinha Costa Rodrigues</t>
  </si>
  <si>
    <t>PEDRO JOSE PEREIRA DA SILVA</t>
  </si>
  <si>
    <t>Luiza Gomes Monteiro</t>
  </si>
  <si>
    <t>MARIA SEILA GOMES PAIVA</t>
  </si>
  <si>
    <t>LUCIA HELENA GUTERRES DE CASTRO</t>
  </si>
  <si>
    <t>Iraci Maria Leite Caldas</t>
  </si>
  <si>
    <t>SUELMA PAIXÃO PEREIRA</t>
  </si>
  <si>
    <t>LOUISIANNE HELENA BECKMAN GUTERRES</t>
  </si>
  <si>
    <t>MARIA DE LOURDES SOUSA</t>
  </si>
  <si>
    <t>Liz Marina de Jesus Raposo</t>
  </si>
  <si>
    <t>Maria do Espírito Santo Mendes de Miranda Arruda </t>
  </si>
  <si>
    <t>JOSE BENONES LOPES DE SOUZA</t>
  </si>
  <si>
    <t>José Albeci Menezes</t>
  </si>
  <si>
    <t>Maria Rocha Costa</t>
  </si>
  <si>
    <t>HELOISA COSTA LOBATO LIRA</t>
  </si>
  <si>
    <t>Jerusa Sousa de Lima</t>
  </si>
  <si>
    <t>OK (O NOME DO CREDOR NO JURIS ESTÁ ERRADO)</t>
  </si>
  <si>
    <t>Márcia Cristina Cantanhede da Silva Moraes</t>
  </si>
  <si>
    <t>Weranicy Marques Sousa</t>
  </si>
  <si>
    <t>MARIA FELÍCIA RODRIGUES MARTINS</t>
  </si>
  <si>
    <t>IRISLENE DE ASSUNÇÃO NINA MARTINS</t>
  </si>
  <si>
    <t>LINDALVA DE SOUSA LOPES</t>
  </si>
  <si>
    <t>Marinalva Pereira Gomes</t>
  </si>
  <si>
    <t>FRANCYCLEIDE CUNHA DE FARIAS</t>
  </si>
  <si>
    <t>JOSINEIDE MARINHO DA FONSECA SOUSA</t>
  </si>
  <si>
    <t>MARIA BENEDITA LOBATO ALHADEFF</t>
  </si>
  <si>
    <t>Antonio Luis Alencar Chaves</t>
  </si>
  <si>
    <t>LEONILDES GUEDES DA SILVA CORREA</t>
  </si>
  <si>
    <t>VERIFICAR VALOR</t>
  </si>
  <si>
    <t>RECEBIDO PARTE DO CRÉDITO POR PRIORIDADE</t>
  </si>
  <si>
    <t>LUCILIA ALVES DE OLIVEIRA</t>
  </si>
  <si>
    <t>AUTOR RENUNCIOU PARA VIRAR RPV. PRECATÓRIO CANCELADO.</t>
  </si>
  <si>
    <t>Maria José Leite Moraes</t>
  </si>
  <si>
    <t>MARIA LUCIA OLIVEIRA REIS</t>
  </si>
  <si>
    <t xml:space="preserve">Antonio Soares de Souza </t>
  </si>
  <si>
    <t>Celia Marina Rodrigues Monteiro</t>
  </si>
  <si>
    <t>MARIA JOSE DO LAGO CARVALHO</t>
  </si>
  <si>
    <t>Sileunice Pires Felipe</t>
  </si>
  <si>
    <t>Maria do Perpetuo Socorro Pereira</t>
  </si>
  <si>
    <t>MARINEIDE SALES BARROS</t>
  </si>
  <si>
    <t>Rosenilde Ferreira Pereira</t>
  </si>
  <si>
    <t>Leonarda Oliveira Carvalho</t>
  </si>
  <si>
    <t>EDILENE CRUZ GOMES</t>
  </si>
  <si>
    <t>Francinete Silva do Nascimento Ferreira</t>
  </si>
  <si>
    <t>Maria do Nascimento Gomes Soares</t>
  </si>
  <si>
    <t>MARIA JOSÉ OLIVEIRA FREITAS</t>
  </si>
  <si>
    <t>Francisca Das Chagas Franca</t>
  </si>
  <si>
    <t>Altevi de Jesus Costa Batista</t>
  </si>
  <si>
    <t>MARLY DE JESUS UCHOA DINIZ</t>
  </si>
  <si>
    <t>Sebastiana Vanda Bezerra de Morais</t>
  </si>
  <si>
    <t>MARIA DA CRUZ DE SOUSA SILVA</t>
  </si>
  <si>
    <t>WANDA MARIA DUARTE REIS SANTOS</t>
  </si>
  <si>
    <t>Antonia Assunçao Paiva Leal</t>
  </si>
  <si>
    <t>ROSANGELA SILVA ARAUJO</t>
  </si>
  <si>
    <t>Gilvan Freire Bezerra Júnior</t>
  </si>
  <si>
    <t>EUNICE DOS REMEDIOS DE OLIVEIRA CHAVES</t>
  </si>
  <si>
    <t>MARIA DE FATIMA ARAUJO DA COSTA</t>
  </si>
  <si>
    <t>MARIA DO ROSÁRIO DE FÁTIMA DE JESUS</t>
  </si>
  <si>
    <t>Celso Soares Lima</t>
  </si>
  <si>
    <t>MARIA LENIR CHAVES FERREIRA</t>
  </si>
  <si>
    <t>Regina Célia Soares de Sousa</t>
  </si>
  <si>
    <t>Antonio da Silva Cardoso</t>
  </si>
  <si>
    <t>AUTA FERNANDES OLIVEIRA</t>
  </si>
  <si>
    <t>Leni Everson Sousa</t>
  </si>
  <si>
    <t>ANTONIA BANDEIRA ALVES</t>
  </si>
  <si>
    <t>Silvaneide Miranda da Silva</t>
  </si>
  <si>
    <t>Francisca das Chagas Araújo Guimarães</t>
  </si>
  <si>
    <t>Carmelita de Sousa Gomes</t>
  </si>
  <si>
    <t>Raimundo Mota</t>
  </si>
  <si>
    <t>Requeremos Prioridade em 11/06/2015</t>
  </si>
  <si>
    <t>Aurenir Flor da Silva Santos</t>
  </si>
  <si>
    <t>MARIA DO SOCORRO PINHO MIRANDA</t>
  </si>
  <si>
    <t>MARIA DAS GRAÇAS BARBOSA</t>
  </si>
  <si>
    <t>Descompressão</t>
  </si>
  <si>
    <t>MARY LÚCIA LIMA RODRIGUES</t>
  </si>
  <si>
    <t>Claudiana Câmara Guimarães Costa</t>
  </si>
  <si>
    <t>MARLENE LIMA COELHO</t>
  </si>
  <si>
    <t>TANEA MARA SOUSA VIEIRA</t>
  </si>
  <si>
    <t>TANIA MARIA FREITAS TRINDADE</t>
  </si>
  <si>
    <t xml:space="preserve">Leonice Rodrigues Costa </t>
  </si>
  <si>
    <t>ALDINETE CARVALHO DOS SANTOS CRISPIM</t>
  </si>
  <si>
    <t>TEREZINHA LIMA LUCENA</t>
  </si>
  <si>
    <t>TEREZINHA DE JESUS CARVALHO LEITE</t>
  </si>
  <si>
    <t>Maria de Jesus Oliveira Sousa</t>
  </si>
  <si>
    <t>SILVIA MARIA MOREIRA DE SOUSA VIANA</t>
  </si>
  <si>
    <t>SIMONE SANTOS COSTA</t>
  </si>
  <si>
    <t>MARILENE SANTOS DA SILVA</t>
  </si>
  <si>
    <t>Aurimar Monteiro Pereira</t>
  </si>
  <si>
    <t>MARIA ELZI ALVES OLIVEIRA</t>
  </si>
  <si>
    <t>MARIA JOSE DA SILVA PEREIRA</t>
  </si>
  <si>
    <t>LAUDICEIA SILVA SOUSA</t>
  </si>
  <si>
    <t>Regina de Fátima da Cunha Silva</t>
  </si>
  <si>
    <t>ANTONIA PEREIRA SILVA</t>
  </si>
  <si>
    <t>MARIA ZULEIDE SOARES DE OLIVEIRA</t>
  </si>
  <si>
    <t>CARMELITA MARIA FERNANDES RAMOS</t>
  </si>
  <si>
    <t>Mirtes dos Santos Pereira Machado</t>
  </si>
  <si>
    <t>MARIA DE NAZARE CARVALHO</t>
  </si>
  <si>
    <t>ANTONIA BARBOSA LIMA</t>
  </si>
  <si>
    <t>MARIA DO SOCORRO REGO GOMES</t>
  </si>
  <si>
    <t>Maria Eline Araujo da Silva</t>
  </si>
  <si>
    <t>MEIRE JANE NASCIMENTO FERREIRA</t>
  </si>
  <si>
    <t>MARIA HELENA GONÇALVES DA SILVA</t>
  </si>
  <si>
    <t>FRANCISCA ISABEL DE OLIVEIRA SILVA</t>
  </si>
  <si>
    <t>Maria Sande-Lée Silva Mendes</t>
  </si>
  <si>
    <t>MARIA RITA RODRIGUES</t>
  </si>
  <si>
    <t>MARIA DA CONCEIÇÃO ALVES REIS</t>
  </si>
  <si>
    <t>SUELI RODRIGUES DE CARVALHO</t>
  </si>
  <si>
    <t>ANTONIO FERREIRA DA SILVA</t>
  </si>
  <si>
    <t>ELIZABETH MENDES BARRO</t>
  </si>
  <si>
    <t>LUCENILDE AQUINO SANTOS</t>
  </si>
  <si>
    <t>MARIA DO CARMO CÂMARA COSTA</t>
  </si>
  <si>
    <t>Maria José Alves de Oliveira</t>
  </si>
  <si>
    <t>VERIFICAR INDEFERIMENTO DE PEDIDO DE PRIORIDADE.</t>
  </si>
  <si>
    <t>ALZENIRA MORAIS DA SILVA</t>
  </si>
  <si>
    <t>MARIA DO SOCORRO COSTA FONSECA</t>
  </si>
  <si>
    <t>Maria Elizabeth Telino de Oliveira</t>
  </si>
  <si>
    <t>MARIA APARECIDA DE VASCONCELOS SOUSA</t>
  </si>
  <si>
    <t>Sonia Maria de Jesus Beserra Pereira</t>
  </si>
  <si>
    <t>MARLUCE BARBOSA ARAGAO</t>
  </si>
  <si>
    <t>Erosilda Alves Privado</t>
  </si>
  <si>
    <t>JOSELANIA MOREIRA COSTA</t>
  </si>
  <si>
    <t>MARIA MARCELINA SOARES DOS SANTOS</t>
  </si>
  <si>
    <t>MARIA GRICE MARQUES DA SILVA</t>
  </si>
  <si>
    <t>MARIA FIRMINA BARBOSA SOARES</t>
  </si>
  <si>
    <t>Requeremos Prioridade em 30/07/2015</t>
  </si>
  <si>
    <t>ANGELA HERNANDEZ MACHADO</t>
  </si>
  <si>
    <t>VANDERLICE RIBEIRO GARCES</t>
  </si>
  <si>
    <t>LAURACY APARECIDA DE MELO PEREIRA</t>
  </si>
  <si>
    <t>FRANCISCA AURENE DE LIMA SOUSA</t>
  </si>
  <si>
    <t>Ângela Maria Ribeiro Silva</t>
  </si>
  <si>
    <t>IOLENE CARVALHO BRANDAO SOUSA</t>
  </si>
  <si>
    <t>LUZ MARIA PESTANA GARCES ASSUNCAO</t>
  </si>
  <si>
    <t>LUCY JOSEPH MOOKENTHOTTAM</t>
  </si>
  <si>
    <t>ODAIR JOSE NEVES SANTOS</t>
  </si>
  <si>
    <t>Sandra Regina Alves Arruda</t>
  </si>
  <si>
    <t>MARINALVA DINIZ FONSECA</t>
  </si>
  <si>
    <t>DEUSINA PEREIRA DA COSTA CRUZ</t>
  </si>
  <si>
    <t>CARLOS ALBERTO DE ARAUJO</t>
  </si>
  <si>
    <t>Francisca de Sousa Rodrigues</t>
  </si>
  <si>
    <t>SANDRA REGINA MORAES MONTENEGRO</t>
  </si>
  <si>
    <t>ROSA MARIA DAS NEVES AMORIM</t>
  </si>
  <si>
    <t>CELIA CRISTINA PEREIRA DOS REIS</t>
  </si>
  <si>
    <t>Marcelina dos Santos Lessa</t>
  </si>
  <si>
    <t>MARISE DE FATIMA SILVA CORREA</t>
  </si>
  <si>
    <t>MARIA DO SOCORRO TORRES ANAISSE</t>
  </si>
  <si>
    <t>Raimunda Nonata Pinheiro</t>
  </si>
  <si>
    <t>FRANCISCA VIEIRA DE FREITAS</t>
  </si>
  <si>
    <t>MARIA GORETH HOLANDA SIQUEIRA</t>
  </si>
  <si>
    <t>FRANCISCO DAS CHAGAS SILVA</t>
  </si>
  <si>
    <t>Sandra Regina Frazao Moraes</t>
  </si>
  <si>
    <t>MARIA DA NATIVIDADE CARVALHO NUNES DUALIBE</t>
  </si>
  <si>
    <t>TERESINHA DE JESUS BENTO SILVA LIMA</t>
  </si>
  <si>
    <t>Evanilda Soares Rezende</t>
  </si>
  <si>
    <t>MARIA CECILIA BAIMA CARVALHO</t>
  </si>
  <si>
    <t>ZILDA ONETE VIEIRA DE FREITAS</t>
  </si>
  <si>
    <t>JOSE NILTON COSTA APRIGIO</t>
  </si>
  <si>
    <t>Rosana Araújo Pinheiro Nunes</t>
  </si>
  <si>
    <t>DANILO LIMA FALCAO</t>
  </si>
  <si>
    <t>TEREZINHA DE JESUS GOMES DA SILVA</t>
  </si>
  <si>
    <t>MARIA DE JESUS DIAMANTINO SOUSA</t>
  </si>
  <si>
    <t xml:space="preserve">Veranice Martins Cantanhede </t>
  </si>
  <si>
    <t>ZENAIDE RODRIGUES SILVA</t>
  </si>
  <si>
    <t>MARIA RITA DOS SANTOS BESSA</t>
  </si>
  <si>
    <t>ROZILDA MARIA CARVALHO NUNES</t>
  </si>
  <si>
    <t>MARIA DE FATIMA LIMA JANSEN</t>
  </si>
  <si>
    <t>Demildes de Brito Lima Moura</t>
  </si>
  <si>
    <t>ROZA MARIA DE SOUZA SILVA</t>
  </si>
  <si>
    <t>ALZIRA DE JESUS MAIA OLIVEIRA</t>
  </si>
  <si>
    <t>Cleonice Medeiros de Vasconcelos</t>
  </si>
  <si>
    <t>ZILFA DE AQUINO BRANDAO</t>
  </si>
  <si>
    <t>DOROTEIA DA ASSENÇAO LOPES DA SILVA</t>
  </si>
  <si>
    <t>Adalzinete Marques Souza</t>
  </si>
  <si>
    <t>ZULEIDE MARIA NASCIMENTO CARNEIRO</t>
  </si>
  <si>
    <t>MARIA TOMAZIA RODRIGUES</t>
  </si>
  <si>
    <t>MARIA PRINCESA DE SOUSA RODRIGUES</t>
  </si>
  <si>
    <t>TEREZINHA DE JESUS DA CUNHA MATOS</t>
  </si>
  <si>
    <t>RAIMUNDA MARIA DA CONCEICAO</t>
  </si>
  <si>
    <t>ERONITA DA SILVA QUEIROZ</t>
  </si>
  <si>
    <t>TERESINHA FERREIRA DA SILVA</t>
  </si>
  <si>
    <t>Maria Lúcia de Sousa Silva</t>
  </si>
  <si>
    <t>Vicentina Anastacia Pereira dos Reis</t>
  </si>
  <si>
    <t>MARIA APARECIDA SOUSA COSTA</t>
  </si>
  <si>
    <t>TELMA MENDES RIBEIRO E SILVA</t>
  </si>
  <si>
    <t>Maria de Nazare Silva Pereira</t>
  </si>
  <si>
    <t>Honorata Pereira Conceição Serra</t>
  </si>
  <si>
    <t>RAIMA FONSECA FERNANDES</t>
  </si>
  <si>
    <t>Conceição de Maria de Jesus Correia Silva</t>
  </si>
  <si>
    <t>FRANCISCA GUIOMAR LOPES DO NASCIMENTO</t>
  </si>
  <si>
    <t>Ismara Costa Albuquerque Cavalcanti</t>
  </si>
  <si>
    <t>VERIFICAR SE O PROCESSO É NOSSO</t>
  </si>
  <si>
    <t>ROSA MARIA MORAIS REIS GARCES</t>
  </si>
  <si>
    <t>FRANCISCA TAVARES LIMA</t>
  </si>
  <si>
    <t>CONCEICAO DE MARIA SERRA CANTANHEDE</t>
  </si>
  <si>
    <t>Ana Lucia Gonçalves Costa</t>
  </si>
  <si>
    <t>MARIA DE LOURDES DE SOUZA BRITO</t>
  </si>
  <si>
    <t>Julião Silva Filho</t>
  </si>
  <si>
    <t>MARIA DOS ANJOS FERREIRA BORGES</t>
  </si>
  <si>
    <t>UBIRAJARA FERREIRA DA PAZ</t>
  </si>
  <si>
    <t>MARIA JOSE SILVA CRUZ</t>
  </si>
  <si>
    <t>Ana Lúcia da Costa Cardoso</t>
  </si>
  <si>
    <t>RAIMUNDA MIRANDA DE SOUSA ARAUJO</t>
  </si>
  <si>
    <t>RAIMUNDA FERNANDES DE FIGUEIREDO</t>
  </si>
  <si>
    <t>Idalina oliveira de Sousa</t>
  </si>
  <si>
    <t>MARIA DE LOURDES RODRIGUES CAMPOS</t>
  </si>
  <si>
    <t>DULCIMAR PEREIRA DE CARVALHO</t>
  </si>
  <si>
    <t>RECEBEU O VALOR INTEGRAL POR PRIORIDADE EM 05/08/2015.</t>
  </si>
  <si>
    <t>IRAIDES ALVES DO NASCIMENTO BATISTA</t>
  </si>
  <si>
    <t xml:space="preserve">Elizabeth Alves da Silva </t>
  </si>
  <si>
    <t>CELIA MARIA DA SILVA CUNHA</t>
  </si>
  <si>
    <t>MARIA DA GRACA SANTOS FERREIRA</t>
  </si>
  <si>
    <t>Marileia Lima Pereira</t>
  </si>
  <si>
    <t>SONIA MARIA SILVA LOPES DE SOUSA</t>
  </si>
  <si>
    <t>Sabina Pereira de Sousa</t>
  </si>
  <si>
    <t>MARIA DE LOURDES ESPECTACAO SILVA</t>
  </si>
  <si>
    <t>SILVIA REGINA CORREA CUNHA</t>
  </si>
  <si>
    <t>Lindalva Bezerra Lima</t>
  </si>
  <si>
    <t>FRANCISCA MARIA BRITO CUNHA</t>
  </si>
  <si>
    <t>IVONETE MARIA BARROS DE SOUSA</t>
  </si>
  <si>
    <t>RECEBIDO PARTE DO CRÉDITO. PRIORIDADE</t>
  </si>
  <si>
    <t>Creusa Maria Jansen Justino</t>
  </si>
  <si>
    <t>CAROLINA CARDOSO LEDA</t>
  </si>
  <si>
    <t>Mary Stella Diniz dos Anjos</t>
  </si>
  <si>
    <t>Maria do Rosário Paixão Rocha Caxias</t>
  </si>
  <si>
    <t>ROZALVA PEREIRA SOUSA DA CUNHA</t>
  </si>
  <si>
    <t>MARILUCIA MATEUS DE FREITAS</t>
  </si>
  <si>
    <t>Olizete Seleiro Gomes</t>
  </si>
  <si>
    <t>ZIRANILDA DE CARVALHO LEITE</t>
  </si>
  <si>
    <t>MARIA DO CARMO LIMA BRAGA</t>
  </si>
  <si>
    <t>Vanda Maria de Araujo Lopes</t>
  </si>
  <si>
    <t>MARIA DE FATIMA SANTOS DO NASCIMENTO</t>
  </si>
  <si>
    <t>Maria do Socorro Veloso</t>
  </si>
  <si>
    <t>VALDENOR RIBEIRO PAIXAO</t>
  </si>
  <si>
    <t>Umbelina dos Santos Oliveira</t>
  </si>
  <si>
    <t>Maria Benedita de Oliveira Barros</t>
  </si>
  <si>
    <t>MOISÉS RODRIGUES DE SOUSA</t>
  </si>
  <si>
    <t>Maria das Graças Corvelo Passos</t>
  </si>
  <si>
    <t>MARIA DE JESUS SOUSA BERNARDO</t>
  </si>
  <si>
    <t>NILSILENE DE SOUSA NASCIMENTO</t>
  </si>
  <si>
    <t>Márcia Marques Pinho</t>
  </si>
  <si>
    <t>MARIA FRANCINETE PEREIRA BORGES</t>
  </si>
  <si>
    <t>OSIEL MATOS PIRES</t>
  </si>
  <si>
    <t>Marluce Luciano de Araujo</t>
  </si>
  <si>
    <t>MARIA JOSE OLIVEIRA MIRANDA</t>
  </si>
  <si>
    <t>Rosa Maria Moraes Paixão</t>
  </si>
  <si>
    <t>RITA FERREIRA DA SILVA</t>
  </si>
  <si>
    <t>REGINA CÉLIA SOARES DE SOUSA</t>
  </si>
  <si>
    <t>RAIMUNDO NONATO COSTA</t>
  </si>
  <si>
    <t>TERESINHA DE JESUS MIRANDA DOS SANTOS</t>
  </si>
  <si>
    <t>Esmeralda de Jesus Teixeira Lima dos Santos</t>
  </si>
  <si>
    <t>TEODORA FERRAZ COELHO</t>
  </si>
  <si>
    <t>SIRLANDE PINHEIRO SERRA</t>
  </si>
  <si>
    <t>DOMINGAS DE JESUS MENDES</t>
  </si>
  <si>
    <t>Madalena Carneiro de Souza Serra</t>
  </si>
  <si>
    <t>MARIA DO SOCORRO MOREIRA OLIVEIRA</t>
  </si>
  <si>
    <t>Ana Lucia da Costa Cardoso</t>
  </si>
  <si>
    <t>LUSILENE BRANDAO MAGALHAES PINTO</t>
  </si>
  <si>
    <t>TEREZA MARIA ALMEIDA SANTANA</t>
  </si>
  <si>
    <t>Alcirene Ramos Pereira</t>
  </si>
  <si>
    <t>VERA LUCIA MARTINS DA ROCHA</t>
  </si>
  <si>
    <t xml:space="preserve">Maria do Socorro Lago dos Santos </t>
  </si>
  <si>
    <t>ZENILDA MARIA ALVES DE ARAUJO</t>
  </si>
  <si>
    <t>VERA LUCIA DA COSTA SANTANA</t>
  </si>
  <si>
    <t>Iradenes Reis de Sá</t>
  </si>
  <si>
    <t>ANA MARIA BEZERRA FRAZAO</t>
  </si>
  <si>
    <t>ANA MARIA UCHOA NICACIO</t>
  </si>
  <si>
    <t>PRECATÓRIOS 2017</t>
  </si>
  <si>
    <t>Maria Lucia Lucena de Queiroz</t>
  </si>
  <si>
    <t>VERIFICAR</t>
  </si>
  <si>
    <t>ALDENORA VIEIRA SANTOS SILVA</t>
  </si>
  <si>
    <t>Vanderleia Alves dos Santos</t>
  </si>
  <si>
    <t>ANA LUCIA UCHOA ALBUQUERQUE</t>
  </si>
  <si>
    <t>IRACY CUTRIM SANTOS</t>
  </si>
  <si>
    <t>ERINEIDE ALVES DOS SANTOS SILVA</t>
  </si>
  <si>
    <t>Maria do Espírito Santo de França</t>
  </si>
  <si>
    <t>LUANA OLIVEIRA BASTIANI DE SOUSA</t>
  </si>
  <si>
    <t>MARIZETE DA SILVA SANTOS</t>
  </si>
  <si>
    <t>Antonio Moraes Teixeira</t>
  </si>
  <si>
    <t>MARIA PEREIRA DE FARIAS</t>
  </si>
  <si>
    <t>EVA DE MELLO CRUZ</t>
  </si>
  <si>
    <t>Iodelsa Dias Teixeira</t>
  </si>
  <si>
    <t>JOAO VIEIRA DE SA</t>
  </si>
  <si>
    <t>Idalina Maria Araujo Farias</t>
  </si>
  <si>
    <t>Claudio Fiminiano da Conceição</t>
  </si>
  <si>
    <t>Filomena Portela de Oliveira</t>
  </si>
  <si>
    <t>REQUEREMOS RENÚNCIA DO EXCESSO PARA FORMAÇÃO DE RPV E CANCELAMENTO DESTE PRECATÓRIO</t>
  </si>
  <si>
    <t>LUCIMAR DA COSTA MOREIRA E SILVA</t>
  </si>
  <si>
    <t>LEILAMAR ALVES PEREIRA</t>
  </si>
  <si>
    <t>MARIA DO CARMO MENDES ALVES FERREIRA</t>
  </si>
  <si>
    <t>DENILSE MARIA FERREIRA DE CASTRO</t>
  </si>
  <si>
    <t>EVANETE BOTELHO DE MACEDO DA SILVA</t>
  </si>
  <si>
    <t>EDNA MARIA TEIXEIRA DA CRUZ</t>
  </si>
  <si>
    <t>MARINA DE JESUS PINHEIRO</t>
  </si>
  <si>
    <t>RAIMUNDA DAS GRACAS CORREIA</t>
  </si>
  <si>
    <t>MARIA GONZAGA VIEIRA DE ANDRADE FERNANDES</t>
  </si>
  <si>
    <t>MARIA DE NAZARE SERRA MAIA</t>
  </si>
  <si>
    <t>RECEBIDO PARTE DO CRÉDITO POR PRIORIDADE PELA CLIENTE. COBRAR.</t>
  </si>
  <si>
    <t>NAZIRA AMORIM DE CARVALHO ALMEIDA</t>
  </si>
  <si>
    <t>RAIMUNDA VIEIRA MACHADO</t>
  </si>
  <si>
    <t>MARIA BERNADETE FERREIRA LIMA</t>
  </si>
  <si>
    <t>EUZAMAR CRUZ FERNANDES</t>
  </si>
  <si>
    <t>MARIA DAS GRAÇAS AVILA BRITO</t>
  </si>
  <si>
    <t>ANA JOSELIA OLIVEIRA VAZ</t>
  </si>
  <si>
    <t>MARIA JOSE SILVA RIBEIRO</t>
  </si>
  <si>
    <t>MARIA BENEDITA DOS SANTOS FIGUEIREDO</t>
  </si>
  <si>
    <t>MARIA BENILZA PARENTES DA SILVA</t>
  </si>
  <si>
    <t>MARIA DO SOCORRO LUZ BELFORT</t>
  </si>
  <si>
    <t>MARIA DA GRACA ARAUJO MORAES</t>
  </si>
  <si>
    <t>REJANE MARIA NERI MACAU</t>
  </si>
  <si>
    <t>MARIA DO SOCORRO LEAL FIALHO</t>
  </si>
  <si>
    <t>MARIA JOSE MOTA SANTOS</t>
  </si>
  <si>
    <t>RITA BARBOSA DE SOUSA</t>
  </si>
  <si>
    <t>MARIA TEREZA DE JESUS SILVA VIEIRA</t>
  </si>
  <si>
    <t>MARIA DAS GRAÇAS CORREA FONSECA</t>
  </si>
  <si>
    <t>NOHEMIA ALVES DE ALMEIDA</t>
  </si>
  <si>
    <t>MYRIAN DA SILVA GONCALVES</t>
  </si>
  <si>
    <t>JERONIMO MELO OLIVEIRA</t>
  </si>
  <si>
    <t>OK (PARTE DO CRÉDITO VENDIDO PELA PROFESSORA)</t>
  </si>
  <si>
    <t>MARIA RIBAMAR MARQUES SOUSA</t>
  </si>
  <si>
    <t>MARIA LAURA MOREIRA DA SILVA</t>
  </si>
  <si>
    <t>CLARICE CONCEIÇAO RIBEIRO SILVA</t>
  </si>
  <si>
    <t>MARIA SERRATE CLIMACO DA SILVA</t>
  </si>
  <si>
    <t>MARIA AUXILIADORA ERICEIRA AMORIM</t>
  </si>
  <si>
    <t>MARIA DA PAZ SILVA DE OLIVEIRA</t>
  </si>
  <si>
    <t>RAIMUNDO MARQUES DA SILVA</t>
  </si>
  <si>
    <t>MARIA JOSÉ SILVA RIBEIRO</t>
  </si>
  <si>
    <t>RAIMUNDA DA GLORIA CORREA BUNA</t>
  </si>
  <si>
    <t>CLAUDETH JUSTULA ALVES MARTINS</t>
  </si>
  <si>
    <t>IRENE SANTOS CABRAL</t>
  </si>
  <si>
    <t>DIANA DE JESUS MORAIS</t>
  </si>
  <si>
    <t>JOSE CLEMILTON SILVA FERNANDES</t>
  </si>
  <si>
    <t>MARIA DALVA OLIVEIRA LAUNE</t>
  </si>
  <si>
    <t>MÁRCIA FERNANDA DE SOUSA BARROS</t>
  </si>
  <si>
    <t>FRANCISCA MARIA RODRIGUES NERES</t>
  </si>
  <si>
    <t>ELZUÍLA CARNEIRO DE CASTRO</t>
  </si>
  <si>
    <t>FRANCISCA DE MARIA BESERRA</t>
  </si>
  <si>
    <t>ANILDE ASCENÇAO LEITE COSTA</t>
  </si>
  <si>
    <t>LUCIMEIRE PEREIRA PAIXAO</t>
  </si>
  <si>
    <t>ROBERVAL AMARAL NETO</t>
  </si>
  <si>
    <t>LUISLEIA PEREIRA DA COSTA CARVALHO</t>
  </si>
  <si>
    <t>FRANCISCA SILVA CARNEIRO</t>
  </si>
  <si>
    <t>ADELAIDE GOMES FEITOSA CRUZ</t>
  </si>
  <si>
    <t>HEDELMAN OLIVEIRA SOUSA</t>
  </si>
  <si>
    <t>IFIGENIA NAZARE ROCHA BRAGA</t>
  </si>
  <si>
    <t>MARIA DIVA BRINGEL VIEIRA</t>
  </si>
  <si>
    <t>MARIA LUIZA ROCHA BRINGEL</t>
  </si>
  <si>
    <t>MARIA DO SOCORRO OLIVEIRA SILVA</t>
  </si>
  <si>
    <t>MARIA JOSE CANTANHEDE PROTAZIO</t>
  </si>
  <si>
    <t>GEORGETE SANDES DE ANDRADE</t>
  </si>
  <si>
    <t>RITA DE SOUSA CARVALHO</t>
  </si>
  <si>
    <t>ZAQUEU COUTINHO DE OLIVEIRA</t>
  </si>
  <si>
    <t>FRANCILEIDE DE ALMEIDA CARVALHO</t>
  </si>
  <si>
    <t>ASSUNCAO DE MARIA BORGES DE SOUSA</t>
  </si>
  <si>
    <t>MARIA EUNICE COELHO CARNEIRO GOMES</t>
  </si>
  <si>
    <t>TEREZINHA DE SOUSA BEZERRA</t>
  </si>
  <si>
    <t>MARIA GORETE CHAVES DE OLIVEIRA</t>
  </si>
  <si>
    <t>SONIA REGINA CARVALHO DE MOURA</t>
  </si>
  <si>
    <t>MARIA LUCILENE LOPES DOS REIS SILVA</t>
  </si>
  <si>
    <t>JOAO DOS SANTOS SILVA</t>
  </si>
  <si>
    <t>ANTONIO JOSE DE OLIVEIRA</t>
  </si>
  <si>
    <t>IVONE ANDRADE DO VALE REIS</t>
  </si>
  <si>
    <t>ANA REGINA SILVA</t>
  </si>
  <si>
    <t>ERENILDE GOMES SOUSA DA SILVA</t>
  </si>
  <si>
    <t>MARIA DA CONCEIÇÃO VELOSO PEREIRA</t>
  </si>
  <si>
    <t>MARIA ANTONIA SILVA DESTERRO</t>
  </si>
  <si>
    <t>CARMENILDE DA SILVA NASCIMENTO</t>
  </si>
  <si>
    <t>MARIA DE JESUS SERRA CUTRIM</t>
  </si>
  <si>
    <t>CARLOTA DA SILVA BARROS</t>
  </si>
  <si>
    <t>VANIA FARIAS LIRA CARO</t>
  </si>
  <si>
    <t>MARIA AIRES MACIEL</t>
  </si>
  <si>
    <t>ANA LUCILIA MELO</t>
  </si>
  <si>
    <t>VANGELA MARIA VELOSO DE SOUSA</t>
  </si>
  <si>
    <t>MARIA ANTONIA RODRIGUES SILVA</t>
  </si>
  <si>
    <t>RAIMUNDA NONATA DA SILVA CAVALCANTE</t>
  </si>
  <si>
    <t>MARIA NILZA SILVA OLIVEIRA</t>
  </si>
  <si>
    <t>TEREZINHA DE JESUS GONÇALVES</t>
  </si>
  <si>
    <t>EUNICE SANTANA MARTINS</t>
  </si>
  <si>
    <t>RAIMUNDA IRES SOUSA QUEIROZ</t>
  </si>
  <si>
    <t>RUIDEMAR DANTAS DE FARIAS</t>
  </si>
  <si>
    <t>ELIEZER FERREIRA DOS SANTOS</t>
  </si>
  <si>
    <t>MARIA SELMA BORGES GALVÃO</t>
  </si>
  <si>
    <t>NAIZE MACHADO DE SOUSA</t>
  </si>
  <si>
    <t>MARIA SIQUEIRA SILVA</t>
  </si>
  <si>
    <t>MASICO EGIDIO COELHO LEITE</t>
  </si>
  <si>
    <t>MARIA DE FATIMA BARROS SANTOS</t>
  </si>
  <si>
    <t>LUIS FERNANDO AVILA SANTOS</t>
  </si>
  <si>
    <t>JOANA DAS DORES LOUZEIRO MATOS</t>
  </si>
  <si>
    <t>SONIA MARIA SOARES SILVA</t>
  </si>
  <si>
    <t>JOSE DE SÁ BARRETO</t>
  </si>
  <si>
    <t>FRANCISCO RODRIGUES FREITAS</t>
  </si>
  <si>
    <t>MOISES NOLETO OLIVEIRA</t>
  </si>
  <si>
    <t>MARIA JOSE ALVES MARTINS</t>
  </si>
  <si>
    <t>JOSÉ CÍCERO DE QUEIROZ SANTOS FILHO</t>
  </si>
  <si>
    <t>ANTONIA SAMPAIO SILVA</t>
  </si>
  <si>
    <t>JOANA ANGELICA PEREIRA MELO</t>
  </si>
  <si>
    <t>NILTA MARIA CUNHA SILVA</t>
  </si>
  <si>
    <t>MARIA DAS DORES SOARES MAMEDE</t>
  </si>
  <si>
    <t>GERALDA JACINTO CORREIA</t>
  </si>
  <si>
    <t>MARIA ANGELA NASCIMENTO PEREIRA</t>
  </si>
  <si>
    <t>MARIA MARGARIDA MENDES MARTINS</t>
  </si>
  <si>
    <t>MARIA DO ESPIRITO SANTO DURANS</t>
  </si>
  <si>
    <t>MARIA DAS DORES BEZERRA DE SOUZA SERRA</t>
  </si>
  <si>
    <t>GARDENIA MARIA BARROS SILVA</t>
  </si>
  <si>
    <t>MARIA ELIZABETH GOMES DA SILVA</t>
  </si>
  <si>
    <t>FRANCISCO SILVA RODRIGUES SANTOS</t>
  </si>
  <si>
    <t>MARIA SILVA OLIVEIRA GOMES</t>
  </si>
  <si>
    <t>SEBASTIANA COSTA CARDOSO</t>
  </si>
  <si>
    <t>EDUARDO GOMES TEIXEIRA FILHO</t>
  </si>
  <si>
    <t>IVALDO ASSAI COSTA</t>
  </si>
  <si>
    <t>DEFERIDA A PRIORIDADE POR DOENÇA</t>
  </si>
  <si>
    <t>DALILA DE SOUSA SILVA ALVES</t>
  </si>
  <si>
    <t>MARIA DA CONCEICAO SILVA PINTO</t>
  </si>
  <si>
    <t>MARIA DE JESUS RAMOS PEREIRA</t>
  </si>
  <si>
    <t>ESTER MONTEIRO DOURADO</t>
  </si>
  <si>
    <t>CLÁUDIA TEREZA BRASIL CANTANHEDE</t>
  </si>
  <si>
    <t>ANTONILDE LOPES OLIVEIRA</t>
  </si>
  <si>
    <t>LUCILEA SANTOS GOMES PEREIRA</t>
  </si>
  <si>
    <t>MARTAILDES SILVA BRUNO</t>
  </si>
  <si>
    <t>MARILUCE FERNANDES COSTA</t>
  </si>
  <si>
    <t>MARIA DE FATIMA BARBOSA DUARTE</t>
  </si>
  <si>
    <t>MARIA DA PAZ OLIVEIRA LIMA</t>
  </si>
  <si>
    <t>GLACI TANHA ARAUJO DE AGUIAR</t>
  </si>
  <si>
    <t>DALVA MARIA ALVES MARQUES</t>
  </si>
  <si>
    <t>DAINER CARRILHO MARTINS</t>
  </si>
  <si>
    <t>CARMELITA DE ARAUJO MELO</t>
  </si>
  <si>
    <t>MARIA CONCEBIDA LIMA CAVALCANTE</t>
  </si>
  <si>
    <t>DINALVA VIANA DA SILVA GUIMARAES</t>
  </si>
  <si>
    <t>MARIA DILCE PEREIRA DE CASTRO</t>
  </si>
  <si>
    <t>MARIA DANTAS DO REGO SILVA</t>
  </si>
  <si>
    <t>MARIA JOSE DE ALMEIDA MONTELES COSTA</t>
  </si>
  <si>
    <t>ALBA DE LOURDES SANTOS</t>
  </si>
  <si>
    <t>ANTONIO JOSE COELHO DA SILVA</t>
  </si>
  <si>
    <t>CONCEIÇÃO DE MARIA GOIS COSTA VASCONCELO</t>
  </si>
  <si>
    <t>ANTONIA ERILENIA PONTES RODRIGUES</t>
  </si>
  <si>
    <t>TEREZA RIBEIRO DOS SANTOS</t>
  </si>
  <si>
    <t>AMANDA NEVES BARROS</t>
  </si>
  <si>
    <t>MARIA APARECIDA CAVALCANTE DE ARAUJO SIMÕES</t>
  </si>
  <si>
    <t>MARIA DO CARMO SILVA SERRA</t>
  </si>
  <si>
    <t>MARIA DAS GRACAS PEREIRA SILVA</t>
  </si>
  <si>
    <t>IVANISE PIMENTEL GOMES</t>
  </si>
  <si>
    <t>RAIMUNDO NONATO IRINEU FRASAO</t>
  </si>
  <si>
    <t>JOSUE NOBRE DE MESQUITA</t>
  </si>
  <si>
    <t>JOEL RODRIGUES DA SILVA</t>
  </si>
  <si>
    <t>LUCINDA PEREIRA DO NASCIMENTO</t>
  </si>
  <si>
    <t>ELIANE MARIA NASCIMENTO NERI</t>
  </si>
  <si>
    <t>JOAO BOAVENTURA BANDEIRA DE MELO MARQUES</t>
  </si>
  <si>
    <t>LENIR ARAÚJO CARNEIRO FERREIRA</t>
  </si>
  <si>
    <t>MARIA HELENA DE ALBUQUERQUE SILVA</t>
  </si>
  <si>
    <t>JOVINA OLIVEIRA ABREU</t>
  </si>
  <si>
    <t>ORLANDO FERREIRA ARAÚJO</t>
  </si>
  <si>
    <t>JAQUELINE ALVES DA SILVA DEMETRIO</t>
  </si>
  <si>
    <t>JACKELINE DA CONCEIÇÃO TEIXEIRA</t>
  </si>
  <si>
    <t>SÔNIA MARIA MORAES CARDOSO</t>
  </si>
  <si>
    <t>JOSILENE DE JESUS FRANCA DOS SANTOS</t>
  </si>
  <si>
    <t>RECEBIDO PARTE DO CRÉDITO. PRIORIDADE. SUCUMBÊNCIA RECEBIDA POR RPV.</t>
  </si>
  <si>
    <t>JOHN WAYNI SANTOS OLIVEIRA</t>
  </si>
  <si>
    <t>MARIA LIMA ARAUJO (MARIA SILVA LIMA)</t>
  </si>
  <si>
    <t>RAIMUNDA DA CONCEIÇAO RIBEIRO MARINHO</t>
  </si>
  <si>
    <t>PRIORIDADE DEFERIDA PARA PESSOA ALHEIA AO PRECATÓRIO. ALVARÁ DEVOLVIDO.</t>
  </si>
  <si>
    <t>MARIA DE JESUS ALMEIDA SILVA</t>
  </si>
  <si>
    <t>RUTH LEITE FONTOURA</t>
  </si>
  <si>
    <t>CLAUDETE MARIA MACEDO PIMENTA</t>
  </si>
  <si>
    <t>ROSELANIA CASSIA OLIVEIRA DE ASSUNCAO</t>
  </si>
  <si>
    <t>JOSIMAR ALVES BARRETO</t>
  </si>
  <si>
    <t>MARIA APARECIDA SANTOS FURTADO</t>
  </si>
  <si>
    <t>MARLENE DA GUIA SOUSA CASTRO</t>
  </si>
  <si>
    <t>MARIA DA PAZ PEREIRA VIEIRA</t>
  </si>
  <si>
    <t>IARA QUARESMA DO VALE RODRIGUES</t>
  </si>
  <si>
    <t>EDENILZA SANTANA NOLETO DA SILVA</t>
  </si>
  <si>
    <t>PAULO OLIVEIRA DA SILVA</t>
  </si>
  <si>
    <t>MS 207002004</t>
  </si>
  <si>
    <t>ISABEL TORRES CHAVES FERNANDES</t>
  </si>
  <si>
    <t>ODETE RIOS DA SILVA</t>
  </si>
  <si>
    <t>BENVINDA MARIA SILVA CAMAPUM</t>
  </si>
  <si>
    <t>MARIA DO CARMO OLIVEIRA</t>
  </si>
  <si>
    <t>LINDALVA DOS SANTOS SERENO</t>
  </si>
  <si>
    <t>ADÃO BARBOSA DA SILVA</t>
  </si>
  <si>
    <t>SONIA REGINA CARVALHO MOURA</t>
  </si>
  <si>
    <t>JOZELIA VIANA DE SOUSA</t>
  </si>
  <si>
    <t>MARIA LIMA DO NASCIMENTO</t>
  </si>
  <si>
    <t>MARIA ONEIDE DE SOUSA OLIVEIRA</t>
  </si>
  <si>
    <t>MARLISE GARCES FEITOSA</t>
  </si>
  <si>
    <t>OSMARINA LIMA PACHECO</t>
  </si>
  <si>
    <t>JUNTAR CPF DO ADVOGADO</t>
  </si>
  <si>
    <t>YOLANDA CASTRO SERRA</t>
  </si>
  <si>
    <t>MARIA IRIS SOUZA DA SILVA</t>
  </si>
  <si>
    <t>TANIA MARIA CHAVES MENDES</t>
  </si>
  <si>
    <t>IRENILDA FRAGOSO DA SILVA FERNANDES</t>
  </si>
  <si>
    <t>FRANCISCA DAS CHAGAS COSTA LUCAS</t>
  </si>
  <si>
    <t>IVETILDE NASCIMENTO DELGADO MOTA</t>
  </si>
  <si>
    <t>RECEBIDO CRÉDITO POR PRIORIDADE</t>
  </si>
  <si>
    <t>LEA CRISTINA PAIXÃO SANTOS</t>
  </si>
  <si>
    <t>MARIA JOSÉ MATA OLIVEIRA</t>
  </si>
  <si>
    <t>SEBASTIANA BORGES DE OLIVEIRA SOUSA</t>
  </si>
  <si>
    <t>DELMARIO FRANÇA LOPES</t>
  </si>
  <si>
    <t>TEREZINHA VIANA DA SILVA</t>
  </si>
  <si>
    <t>CLEONES DA CONCEIÇÃO GOMES SILVA</t>
  </si>
  <si>
    <t>RAIMUNDA NONATA COSTA NASCIMENTO</t>
  </si>
  <si>
    <t>PAULA DE SOUZA LIMA</t>
  </si>
  <si>
    <t>MARIA TAGLIANETT SILVA DOS SANTOS</t>
  </si>
  <si>
    <t>MARIA DO SOCORRO MARQUES PEREIRA</t>
  </si>
  <si>
    <t>LAURA SILVA ALMEIDA</t>
  </si>
  <si>
    <t>JOSE ORLANDO CORREA</t>
  </si>
  <si>
    <t>MARIA DE LOURDES PIRES MACATRÃO</t>
  </si>
  <si>
    <t>ANA LEA MORAES MARTINS</t>
  </si>
  <si>
    <t>MARIDALVA DENIS CAVALCANTE</t>
  </si>
  <si>
    <t>ZANDRA MARCIA ALVES DE SOUSA</t>
  </si>
  <si>
    <t>EDI DE FATIMA MORAIS SANTOS</t>
  </si>
  <si>
    <t>MARIA DE JESUS COSTA SANTOS</t>
  </si>
  <si>
    <t>JUCILENE ARAÚJO LIMA</t>
  </si>
  <si>
    <t>MARIA ANUNCIADA MATIAS PEREIRA</t>
  </si>
  <si>
    <t>MARIA PLACIDO DE CARVALHO</t>
  </si>
  <si>
    <t>LUCIA DE FATIMA SOUSA VEIGA</t>
  </si>
  <si>
    <t>ANDRE PEREIRA DE ARAUJO</t>
  </si>
  <si>
    <t>TAISA GODINHO OLIVEIRA</t>
  </si>
  <si>
    <t>ADELSON DOS SANTOS SILVA</t>
  </si>
  <si>
    <t>ANA MARIA DUTRA SOUSA</t>
  </si>
  <si>
    <t>MARIA DO SOCORRO BATISTA SILVA</t>
  </si>
  <si>
    <t>MARIA EDIVAN SOUSA TORRES</t>
  </si>
  <si>
    <t>NILZA MARTINS ABREU</t>
  </si>
  <si>
    <t>EVA SOUSA SOARES</t>
  </si>
  <si>
    <t>MARIA GRACIETE GONÇALVES</t>
  </si>
  <si>
    <t>NUBIA MARIA SOUSA SILVA</t>
  </si>
  <si>
    <t>VERIFICAR INDEFERIMENTO PRIORIDADE POR DOENÇA</t>
  </si>
  <si>
    <t>REGINA LOPES ALVES VELOSO</t>
  </si>
  <si>
    <t>SIRLAN CORTES SILVA</t>
  </si>
  <si>
    <t>LUCILENE MONTEIRO ALCANTAR</t>
  </si>
  <si>
    <t>MARIA MADALENA CASTRO DE SOUSA</t>
  </si>
  <si>
    <t>ANTONIA PEREIRA DE LIMA</t>
  </si>
  <si>
    <t>DORALICE DE ASSUNCAO MOTA</t>
  </si>
  <si>
    <t>TEODOLINA DAMIANA PAIXAO REGO</t>
  </si>
  <si>
    <t>LUCILIA DA ROCHA SILVA</t>
  </si>
  <si>
    <t>LENIRA DE JESUS DINIZ TRINDADE</t>
  </si>
  <si>
    <t>LUCIANE SILVA CARVALHO DE MIRANDA</t>
  </si>
  <si>
    <t>ZILMA ALVES RIBEIRO</t>
  </si>
  <si>
    <t>BIBIANA MARIA PEREIRA NERY</t>
  </si>
  <si>
    <t>SANDRA LUCIA FERREIRA DE SOUSA</t>
  </si>
  <si>
    <t>TÂNIA BARBOSA PEREIRA COSTA</t>
  </si>
  <si>
    <t>MARIA AMELIA RAMOS DE ARAUJO</t>
  </si>
  <si>
    <t>LUCIJANE MARIA HOLANDA NUNES</t>
  </si>
  <si>
    <t>MARIA LUCIA AGUIAR TEIXEIRA</t>
  </si>
  <si>
    <t>MARIA NUNES MACHADO</t>
  </si>
  <si>
    <t>MARIA FRANCISCA LEDA FIGUEIREDO MUNIZ</t>
  </si>
  <si>
    <t>MARIA DAS GRAÇAS MORAIS</t>
  </si>
  <si>
    <t>ANGELA LUCIA BARROSO DE SOUSA</t>
  </si>
  <si>
    <t>REGINA RODRIGUES DOS SANTOS</t>
  </si>
  <si>
    <t>ANA TEREZA SANTOS JACINTO SERRA</t>
  </si>
  <si>
    <t>FRANCISCO CRUZ</t>
  </si>
  <si>
    <t>NAIZA SILVA DE SOUSA</t>
  </si>
  <si>
    <t>RITA MARIA TEIXEIRA RAPOSO PEREIRA</t>
  </si>
  <si>
    <t>ISABEL RAPOSO GUIMARAES DA ROCHA</t>
  </si>
  <si>
    <t>CIRENILDE COSTA LIMA</t>
  </si>
  <si>
    <t>MARIA ALEXSANDRA DA CRUZ BRAZ NOGUEIRA</t>
  </si>
  <si>
    <t>FRANCISCA JOSELIA SILVA LIMA ANDRADE</t>
  </si>
  <si>
    <t>IONEIDE CASTRO CUNHA SANTOS</t>
  </si>
  <si>
    <t>FRANCISCA CLELIA SILVA LIMA</t>
  </si>
  <si>
    <t>DEUSEVAN PEREIRA DE BRITO</t>
  </si>
  <si>
    <t>MARIA ALVES SILVA NEIVA</t>
  </si>
  <si>
    <t>PRECATÓRIOS CONTRA MUNICÍPIOS</t>
  </si>
  <si>
    <t>THOMAZA PEREIRA DOS SANTOS CAMPOS</t>
  </si>
  <si>
    <t>Exercício</t>
  </si>
  <si>
    <t>Executado</t>
  </si>
  <si>
    <t>FRANCISCO BENICIO GONCALVES</t>
  </si>
  <si>
    <t>CHAVES COMÉRCIO LTDA</t>
  </si>
  <si>
    <t>MARIA DAS DORES FERREIRA DE MORAIS</t>
  </si>
  <si>
    <t>Prazo de 30 dias para pagamento. (23/05)</t>
  </si>
  <si>
    <t>MATA ROMA</t>
  </si>
  <si>
    <t>ANTONIO DA COSTA MENDES E OUTROS</t>
  </si>
  <si>
    <t>Requerer expedição de alvarás.</t>
  </si>
  <si>
    <t>MILAGRES DO MARANHÃO</t>
  </si>
  <si>
    <t>Maria do Socorro Pereira de Oliveira</t>
  </si>
  <si>
    <t>ALVARÁS RECEBIDOS PELA CLIENTE E PELO ADVOGADO EDMUNDO</t>
  </si>
  <si>
    <t>ESTADO DO MARANHÃO</t>
  </si>
  <si>
    <t>MARIA RAIMUNDA LOPES COSTA E MIRIAN RONE SANTOS DA SILVA</t>
  </si>
  <si>
    <t>REQUERER BLOQUEIO DO VALOR</t>
  </si>
  <si>
    <t>BACABEIRA</t>
  </si>
  <si>
    <t>Gislayne Teixeira Monteiro</t>
  </si>
  <si>
    <t>ALVARÁS RECEBIDOS POR GUTEMBERG E PELA CLIENTE. COBRAR</t>
  </si>
  <si>
    <t>SÃO LUÍS</t>
  </si>
  <si>
    <t>JACIMAR DAS GRAÇAS DE MARIA SERRA</t>
  </si>
  <si>
    <t>ALVARÁS RECEBIDOS</t>
  </si>
  <si>
    <t>BARREIRINHAS</t>
  </si>
  <si>
    <t>MARIA DOS SANTOS COUTINHO</t>
  </si>
  <si>
    <t>ORIUNDO VARA DO TRABALHO DE BARREIRINHAS - FEITA PETIÇÃO DE SEQUESTRO</t>
  </si>
  <si>
    <t>MARIA DOS MILAGRES DE SOUSA LIMA</t>
  </si>
  <si>
    <t>DINALVA CASTRO CUNHA PEREIRA</t>
  </si>
  <si>
    <t>RECEBIDO</t>
  </si>
  <si>
    <t>RPV</t>
  </si>
  <si>
    <t>TUNTUM</t>
  </si>
  <si>
    <t>YOLANDA FREITAS DE ARAÚJO E OUTROS</t>
  </si>
  <si>
    <t>ANTONIA LEONARDO DE PINHO E LEONARDO</t>
  </si>
  <si>
    <t>Valor bloqueado. Requerer expedição de alvarás.</t>
  </si>
  <si>
    <t>SOLÚVIA ALVES LIMA E OUTROS</t>
  </si>
  <si>
    <t>Determinado expedição de RPV</t>
  </si>
  <si>
    <t>SERGIANA LOPES DE LIMA E OUTROS</t>
  </si>
  <si>
    <t>Crédito recebido por Gutemberg. Alvarás somente para os clientes.</t>
  </si>
  <si>
    <t>VALÉRIA PINHEIRO VAZ E OUTROS</t>
  </si>
  <si>
    <t>Determinado bloqueio</t>
  </si>
  <si>
    <t>BENILDO ALVES LIMA</t>
  </si>
  <si>
    <t>ANA PATRICIA DE SOUSA SARAIVA E OUTROS</t>
  </si>
  <si>
    <t>RAIMUNDA PEREIRA DA SILVA E OUTROS</t>
  </si>
  <si>
    <t>ANA MARIA DA CUNHA E OUTROS</t>
  </si>
  <si>
    <t>Alvará com erro. Pedir correção.</t>
  </si>
  <si>
    <t>EDNA LIMA FERREIRA E OUTROS</t>
  </si>
  <si>
    <t>WILIAME DE NAZARE RIBEIRO DA SILVA</t>
  </si>
  <si>
    <t>MARIA LEONICE ARAÚJO SILVA E OUTROS</t>
  </si>
  <si>
    <t>INALDO SILVA CASTRO E OUTROS</t>
  </si>
  <si>
    <t>ROSANE MARIA GOMES FIGUEIREDO E OUTROS</t>
  </si>
  <si>
    <t>MARIA APARECIDA FERREIRA DOS SANTOS E OUTROS</t>
  </si>
  <si>
    <t>Alvará expedido.</t>
  </si>
  <si>
    <t>SÃO VICENTE FÉRRER</t>
  </si>
  <si>
    <t>RAIMUNDA NONATA DINIZ FREIRE E OUTROS</t>
  </si>
  <si>
    <t>FILOMENA PORTELA DE OLIVEIRA</t>
  </si>
  <si>
    <t>ARIMOSSENE MATOS CUTRIM</t>
  </si>
  <si>
    <t>CARMELITA BATISTA MORAES PINHEIRO</t>
  </si>
  <si>
    <t>MARIA IRECE BELEM</t>
  </si>
  <si>
    <t>CLAUDIANE DE JESUS MENDES SANTOS</t>
  </si>
  <si>
    <t>DOMINGAS DE JESUS MENDONCA</t>
  </si>
  <si>
    <t>FERNANDO MENDES</t>
  </si>
  <si>
    <t>RAIMUNDA IRISMAR DO NASCIMENTO MESQUITA</t>
  </si>
  <si>
    <t>VALNICE BERTOLDO ROSARIO DA SILVA</t>
  </si>
  <si>
    <t>MARLENE QUEIROZ SERENO</t>
  </si>
  <si>
    <t>MARIA ZÉLIA GONÇALVES DE SOUSA</t>
  </si>
  <si>
    <t>ANTONIA SILVA OLANDA</t>
  </si>
  <si>
    <t>MARINETE CAVALCANTE DE MESQUISTA</t>
  </si>
  <si>
    <t>ROSENY PALMA PEREIRA FREITAS</t>
  </si>
  <si>
    <t>ARLY MARY DE SOUSA E SILVA</t>
  </si>
  <si>
    <t>MARGARETH LOURDES LEITE PESSOA</t>
  </si>
  <si>
    <t>MARIA DO ROSARIO DINIZ VIEIRA</t>
  </si>
  <si>
    <t>MARIA DE FATIMA BARBOSA DE SOUSA LIMA</t>
  </si>
  <si>
    <t>MARIA APARECIDA LOPES DE SOUSA LIMA</t>
  </si>
  <si>
    <t>NUBIA SOUZA RIBEIRO E SILVA</t>
  </si>
  <si>
    <t>RITA MARTINS EVERTON</t>
  </si>
  <si>
    <t>NIDEVAL ARAUJO DE ANDRADE</t>
  </si>
  <si>
    <t>FRANCISCA ASSUNCAO CASTELO BRANCO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</si>
</sst>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164" formatCode="&quot;R$&quot;\ #,##0.00"/>
    <numFmt numFmtId="165" formatCode="&quot;$&quot;#,##0.00"/>
    <numFmt numFmtId="166" formatCode="[$R$]#,##0.00"/>
  </numFmts>
  <fonts count="9">
    <font>
      <sz val="11"/>
      <color rgb="FF000000"/>
      <name val="Calibri"/>
    </font>
    <font>
      <b/>
      <sz val="9"/>
      <color rgb="FF000000"/>
      <name val="Calibri"/>
    </font>
    <font>
      <sz val="11"/>
      <name val="Calibri"/>
    </font>
    <font>
      <sz val="9"/>
      <color rgb="FF000000"/>
      <name val="Calibri"/>
    </font>
    <font>
      <sz val="9"/>
      <name val="Calibri"/>
    </font>
    <font>
      <sz val="9"/>
      <color rgb="FFFF0000"/>
      <name val="Calibri"/>
    </font>
    <font>
      <sz val="9"/>
      <name val="Calibri"/>
    </font>
    <font>
      <sz val="9"/>
      <color rgb="FFFF0000"/>
      <name val="Calibri"/>
    </font>
    <font>
      <b/>
      <sz val="8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669">
    <xf numFmtId="0" fontId="0" fillId="0" borderId="0" xfId="0" applyFont="1" applyAlignmen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7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/>
    <xf numFmtId="14" fontId="3" fillId="0" borderId="10" xfId="0" applyNumberFormat="1" applyFont="1" applyBorder="1" applyAlignment="1"/>
    <xf numFmtId="0" fontId="3" fillId="0" borderId="7" xfId="0" applyFont="1" applyBorder="1"/>
    <xf numFmtId="0" fontId="3" fillId="0" borderId="10" xfId="0" applyFont="1" applyBorder="1"/>
    <xf numFmtId="164" fontId="3" fillId="0" borderId="7" xfId="0" applyNumberFormat="1" applyFont="1" applyBorder="1"/>
    <xf numFmtId="164" fontId="3" fillId="0" borderId="10" xfId="0" applyNumberFormat="1" applyFont="1" applyBorder="1" applyAlignment="1">
      <alignment horizontal="right"/>
    </xf>
    <xf numFmtId="0" fontId="3" fillId="0" borderId="7" xfId="0" applyFont="1" applyBorder="1" applyAlignment="1"/>
    <xf numFmtId="165" fontId="3" fillId="0" borderId="7" xfId="0" applyNumberFormat="1" applyFont="1" applyBorder="1"/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right"/>
    </xf>
    <xf numFmtId="0" fontId="3" fillId="0" borderId="7" xfId="0" applyFont="1" applyBorder="1" applyAlignment="1">
      <alignment horizontal="right" wrapText="1"/>
    </xf>
    <xf numFmtId="166" fontId="3" fillId="0" borderId="10" xfId="0" applyNumberFormat="1" applyFont="1" applyBorder="1"/>
    <xf numFmtId="9" fontId="3" fillId="0" borderId="10" xfId="0" applyNumberFormat="1" applyFont="1" applyBorder="1" applyAlignment="1"/>
    <xf numFmtId="0" fontId="3" fillId="3" borderId="7" xfId="0" applyFont="1" applyFill="1" applyBorder="1" applyAlignment="1"/>
    <xf numFmtId="164" fontId="3" fillId="3" borderId="7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7" xfId="0" applyNumberFormat="1" applyFont="1" applyBorder="1" applyAlignment="1"/>
    <xf numFmtId="0" fontId="4" fillId="0" borderId="11" xfId="0" applyFont="1" applyBorder="1" applyAlignment="1"/>
    <xf numFmtId="0" fontId="3" fillId="0" borderId="12" xfId="0" applyFont="1" applyBorder="1"/>
    <xf numFmtId="0" fontId="3" fillId="0" borderId="5" xfId="0" applyFont="1" applyBorder="1" applyAlignment="1"/>
    <xf numFmtId="14" fontId="3" fillId="0" borderId="7" xfId="0" applyNumberFormat="1" applyFont="1" applyBorder="1" applyAlignment="1"/>
    <xf numFmtId="0" fontId="3" fillId="0" borderId="13" xfId="0" applyFont="1" applyBorder="1"/>
    <xf numFmtId="0" fontId="3" fillId="0" borderId="7" xfId="0" applyFont="1" applyBorder="1"/>
    <xf numFmtId="0" fontId="3" fillId="0" borderId="13" xfId="0" applyFont="1" applyBorder="1" applyAlignment="1">
      <alignment horizontal="center"/>
    </xf>
    <xf numFmtId="164" fontId="3" fillId="0" borderId="7" xfId="0" applyNumberFormat="1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166" fontId="3" fillId="0" borderId="7" xfId="0" applyNumberFormat="1" applyFont="1" applyBorder="1"/>
    <xf numFmtId="164" fontId="3" fillId="0" borderId="13" xfId="0" applyNumberFormat="1" applyFont="1" applyBorder="1" applyAlignment="1">
      <alignment horizontal="right"/>
    </xf>
    <xf numFmtId="9" fontId="3" fillId="0" borderId="7" xfId="0" applyNumberFormat="1" applyFont="1" applyBorder="1" applyAlignment="1"/>
    <xf numFmtId="165" fontId="3" fillId="0" borderId="13" xfId="0" applyNumberFormat="1" applyFont="1" applyBorder="1"/>
    <xf numFmtId="0" fontId="3" fillId="0" borderId="13" xfId="0" applyFont="1" applyBorder="1" applyAlignment="1"/>
    <xf numFmtId="0" fontId="4" fillId="0" borderId="14" xfId="0" applyFont="1" applyBorder="1" applyAlignment="1"/>
    <xf numFmtId="0" fontId="3" fillId="0" borderId="15" xfId="0" applyFont="1" applyBorder="1"/>
    <xf numFmtId="0" fontId="3" fillId="0" borderId="16" xfId="0" applyFont="1" applyBorder="1"/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/>
    <xf numFmtId="164" fontId="3" fillId="0" borderId="15" xfId="0" applyNumberFormat="1" applyFont="1" applyBorder="1"/>
    <xf numFmtId="14" fontId="3" fillId="0" borderId="18" xfId="0" applyNumberFormat="1" applyFont="1" applyBorder="1" applyAlignment="1"/>
    <xf numFmtId="165" fontId="3" fillId="0" borderId="15" xfId="0" applyNumberFormat="1" applyFont="1" applyBorder="1"/>
    <xf numFmtId="0" fontId="3" fillId="0" borderId="18" xfId="0" applyFont="1" applyBorder="1"/>
    <xf numFmtId="165" fontId="3" fillId="0" borderId="15" xfId="0" applyNumberFormat="1" applyFont="1" applyBorder="1" applyAlignment="1"/>
    <xf numFmtId="164" fontId="3" fillId="0" borderId="18" xfId="0" applyNumberFormat="1" applyFont="1" applyBorder="1" applyAlignment="1">
      <alignment horizontal="right"/>
    </xf>
    <xf numFmtId="0" fontId="3" fillId="0" borderId="15" xfId="0" applyFont="1" applyBorder="1" applyAlignment="1"/>
    <xf numFmtId="166" fontId="3" fillId="0" borderId="18" xfId="0" applyNumberFormat="1" applyFont="1" applyBorder="1"/>
    <xf numFmtId="0" fontId="1" fillId="2" borderId="6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center" vertical="top"/>
    </xf>
    <xf numFmtId="9" fontId="3" fillId="0" borderId="18" xfId="0" applyNumberFormat="1" applyFont="1" applyBorder="1" applyAlignment="1"/>
    <xf numFmtId="14" fontId="1" fillId="2" borderId="6" xfId="0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right" vertical="top"/>
    </xf>
    <xf numFmtId="0" fontId="3" fillId="0" borderId="18" xfId="0" applyFont="1" applyBorder="1" applyAlignment="1"/>
    <xf numFmtId="0" fontId="3" fillId="0" borderId="8" xfId="0" applyFont="1" applyBorder="1" applyAlignment="1">
      <alignment horizontal="right"/>
    </xf>
    <xf numFmtId="0" fontId="4" fillId="0" borderId="19" xfId="0" applyFont="1" applyBorder="1" applyAlignment="1"/>
    <xf numFmtId="14" fontId="3" fillId="0" borderId="9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164" fontId="3" fillId="0" borderId="10" xfId="0" applyNumberFormat="1" applyFont="1" applyBorder="1"/>
    <xf numFmtId="166" fontId="3" fillId="0" borderId="10" xfId="0" applyNumberFormat="1" applyFont="1" applyBorder="1"/>
    <xf numFmtId="0" fontId="3" fillId="0" borderId="7" xfId="0" applyFont="1" applyBorder="1" applyAlignment="1"/>
    <xf numFmtId="166" fontId="3" fillId="0" borderId="10" xfId="0" applyNumberFormat="1" applyFont="1" applyBorder="1" applyAlignment="1"/>
    <xf numFmtId="0" fontId="4" fillId="0" borderId="20" xfId="0" applyFont="1" applyBorder="1" applyAlignment="1"/>
    <xf numFmtId="0" fontId="3" fillId="0" borderId="10" xfId="0" applyFont="1" applyBorder="1" applyAlignment="1"/>
    <xf numFmtId="0" fontId="3" fillId="0" borderId="12" xfId="0" applyFont="1" applyBorder="1" applyAlignment="1">
      <alignment horizontal="right"/>
    </xf>
    <xf numFmtId="0" fontId="4" fillId="0" borderId="17" xfId="0" applyFont="1" applyBorder="1" applyAlignment="1"/>
    <xf numFmtId="14" fontId="3" fillId="0" borderId="5" xfId="0" applyNumberFormat="1" applyFont="1" applyBorder="1" applyAlignment="1">
      <alignment horizontal="right" vertical="top"/>
    </xf>
    <xf numFmtId="14" fontId="4" fillId="0" borderId="18" xfId="0" applyNumberFormat="1" applyFont="1" applyBorder="1" applyAlignment="1"/>
    <xf numFmtId="0" fontId="3" fillId="0" borderId="7" xfId="0" applyFont="1" applyBorder="1" applyAlignment="1">
      <alignment horizontal="right" vertical="top"/>
    </xf>
    <xf numFmtId="0" fontId="4" fillId="0" borderId="18" xfId="0" applyFont="1" applyBorder="1"/>
    <xf numFmtId="164" fontId="3" fillId="0" borderId="7" xfId="0" applyNumberFormat="1" applyFont="1" applyBorder="1"/>
    <xf numFmtId="164" fontId="4" fillId="0" borderId="18" xfId="0" applyNumberFormat="1" applyFont="1" applyBorder="1"/>
    <xf numFmtId="0" fontId="5" fillId="4" borderId="7" xfId="0" applyFont="1" applyFill="1" applyBorder="1"/>
    <xf numFmtId="166" fontId="3" fillId="0" borderId="18" xfId="0" applyNumberFormat="1" applyFont="1" applyBorder="1" applyAlignment="1"/>
    <xf numFmtId="0" fontId="5" fillId="4" borderId="7" xfId="0" applyFont="1" applyFill="1" applyBorder="1" applyAlignment="1">
      <alignment horizontal="center"/>
    </xf>
    <xf numFmtId="166" fontId="4" fillId="0" borderId="18" xfId="0" applyNumberFormat="1" applyFont="1" applyBorder="1"/>
    <xf numFmtId="164" fontId="5" fillId="4" borderId="7" xfId="0" applyNumberFormat="1" applyFont="1" applyFill="1" applyBorder="1"/>
    <xf numFmtId="165" fontId="5" fillId="4" borderId="15" xfId="0" applyNumberFormat="1" applyFont="1" applyFill="1" applyBorder="1" applyAlignment="1"/>
    <xf numFmtId="14" fontId="3" fillId="0" borderId="9" xfId="0" applyNumberFormat="1" applyFont="1" applyBorder="1" applyAlignment="1"/>
    <xf numFmtId="165" fontId="5" fillId="4" borderId="7" xfId="0" applyNumberFormat="1" applyFont="1" applyFill="1" applyBorder="1" applyAlignment="1"/>
    <xf numFmtId="166" fontId="3" fillId="0" borderId="7" xfId="0" applyNumberFormat="1" applyFont="1" applyBorder="1"/>
    <xf numFmtId="14" fontId="3" fillId="0" borderId="17" xfId="0" applyNumberFormat="1" applyFont="1" applyBorder="1" applyAlignment="1"/>
    <xf numFmtId="0" fontId="5" fillId="4" borderId="7" xfId="0" applyFont="1" applyFill="1" applyBorder="1" applyAlignment="1"/>
    <xf numFmtId="164" fontId="3" fillId="0" borderId="18" xfId="0" applyNumberFormat="1" applyFont="1" applyBorder="1"/>
    <xf numFmtId="166" fontId="3" fillId="0" borderId="7" xfId="0" applyNumberFormat="1" applyFont="1" applyBorder="1" applyAlignment="1"/>
    <xf numFmtId="0" fontId="3" fillId="0" borderId="21" xfId="0" applyFont="1" applyBorder="1"/>
    <xf numFmtId="0" fontId="4" fillId="0" borderId="3" xfId="0" applyFont="1" applyBorder="1" applyAlignment="1"/>
    <xf numFmtId="14" fontId="3" fillId="0" borderId="22" xfId="0" applyNumberFormat="1" applyFont="1" applyBorder="1" applyAlignment="1"/>
    <xf numFmtId="0" fontId="3" fillId="0" borderId="16" xfId="0" applyFont="1" applyBorder="1" applyAlignment="1">
      <alignment horizontal="right"/>
    </xf>
    <xf numFmtId="14" fontId="3" fillId="0" borderId="23" xfId="0" applyNumberFormat="1" applyFont="1" applyBorder="1" applyAlignment="1"/>
    <xf numFmtId="14" fontId="3" fillId="0" borderId="17" xfId="0" applyNumberFormat="1" applyFont="1" applyBorder="1" applyAlignment="1">
      <alignment horizontal="right" vertical="top"/>
    </xf>
    <xf numFmtId="0" fontId="3" fillId="0" borderId="23" xfId="0" applyFont="1" applyBorder="1"/>
    <xf numFmtId="0" fontId="3" fillId="0" borderId="18" xfId="0" applyFont="1" applyBorder="1" applyAlignment="1">
      <alignment horizontal="right" vertical="top"/>
    </xf>
    <xf numFmtId="164" fontId="3" fillId="0" borderId="23" xfId="0" applyNumberFormat="1" applyFont="1" applyBorder="1" applyAlignment="1">
      <alignment horizontal="right"/>
    </xf>
    <xf numFmtId="166" fontId="3" fillId="0" borderId="18" xfId="0" applyNumberFormat="1" applyFont="1" applyBorder="1"/>
    <xf numFmtId="166" fontId="3" fillId="0" borderId="23" xfId="0" applyNumberFormat="1" applyFont="1" applyBorder="1"/>
    <xf numFmtId="9" fontId="3" fillId="0" borderId="23" xfId="0" applyNumberFormat="1" applyFont="1" applyBorder="1" applyAlignment="1"/>
    <xf numFmtId="166" fontId="3" fillId="0" borderId="18" xfId="0" applyNumberFormat="1" applyFont="1" applyBorder="1" applyAlignment="1"/>
    <xf numFmtId="166" fontId="3" fillId="0" borderId="23" xfId="0" applyNumberFormat="1" applyFont="1" applyBorder="1" applyAlignment="1"/>
    <xf numFmtId="0" fontId="4" fillId="0" borderId="24" xfId="0" applyFont="1" applyBorder="1" applyAlignment="1"/>
    <xf numFmtId="0" fontId="3" fillId="0" borderId="23" xfId="0" applyFont="1" applyBorder="1" applyAlignment="1"/>
    <xf numFmtId="14" fontId="3" fillId="3" borderId="9" xfId="0" applyNumberFormat="1" applyFont="1" applyFill="1" applyBorder="1" applyAlignment="1">
      <alignment horizontal="right" vertical="top"/>
    </xf>
    <xf numFmtId="0" fontId="4" fillId="0" borderId="25" xfId="0" applyFont="1" applyBorder="1" applyAlignment="1"/>
    <xf numFmtId="0" fontId="3" fillId="3" borderId="10" xfId="0" applyFont="1" applyFill="1" applyBorder="1" applyAlignment="1">
      <alignment horizontal="right" vertical="top"/>
    </xf>
    <xf numFmtId="164" fontId="3" fillId="0" borderId="23" xfId="0" applyNumberFormat="1" applyFont="1" applyBorder="1"/>
    <xf numFmtId="0" fontId="3" fillId="3" borderId="10" xfId="0" applyFont="1" applyFill="1" applyBorder="1"/>
    <xf numFmtId="164" fontId="3" fillId="3" borderId="10" xfId="0" applyNumberFormat="1" applyFont="1" applyFill="1" applyBorder="1"/>
    <xf numFmtId="0" fontId="3" fillId="4" borderId="7" xfId="0" applyFont="1" applyFill="1" applyBorder="1" applyAlignment="1"/>
    <xf numFmtId="164" fontId="3" fillId="0" borderId="10" xfId="0" applyNumberFormat="1" applyFont="1" applyBorder="1" applyAlignment="1">
      <alignment horizontal="right"/>
    </xf>
    <xf numFmtId="14" fontId="3" fillId="3" borderId="5" xfId="0" applyNumberFormat="1" applyFont="1" applyFill="1" applyBorder="1" applyAlignment="1">
      <alignment horizontal="right" vertical="top"/>
    </xf>
    <xf numFmtId="0" fontId="4" fillId="0" borderId="7" xfId="0" applyFont="1" applyBorder="1"/>
    <xf numFmtId="0" fontId="3" fillId="3" borderId="7" xfId="0" applyFont="1" applyFill="1" applyBorder="1" applyAlignment="1">
      <alignment horizontal="right" vertical="top"/>
    </xf>
    <xf numFmtId="0" fontId="4" fillId="0" borderId="7" xfId="0" applyFont="1" applyBorder="1" applyAlignment="1">
      <alignment horizontal="center"/>
    </xf>
    <xf numFmtId="0" fontId="3" fillId="3" borderId="7" xfId="0" applyFont="1" applyFill="1" applyBorder="1"/>
    <xf numFmtId="164" fontId="4" fillId="0" borderId="7" xfId="0" applyNumberFormat="1" applyFont="1" applyBorder="1"/>
    <xf numFmtId="164" fontId="3" fillId="3" borderId="7" xfId="0" applyNumberFormat="1" applyFont="1" applyFill="1" applyBorder="1"/>
    <xf numFmtId="14" fontId="3" fillId="0" borderId="5" xfId="0" applyNumberFormat="1" applyFont="1" applyBorder="1" applyAlignment="1"/>
    <xf numFmtId="14" fontId="3" fillId="0" borderId="17" xfId="0" applyNumberFormat="1" applyFont="1" applyBorder="1" applyAlignment="1">
      <alignment horizontal="right"/>
    </xf>
    <xf numFmtId="166" fontId="3" fillId="0" borderId="7" xfId="0" applyNumberFormat="1" applyFont="1" applyBorder="1" applyAlignment="1"/>
    <xf numFmtId="0" fontId="3" fillId="0" borderId="18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165" fontId="4" fillId="0" borderId="7" xfId="0" applyNumberFormat="1" applyFont="1" applyBorder="1"/>
    <xf numFmtId="166" fontId="3" fillId="0" borderId="10" xfId="0" applyNumberFormat="1" applyFont="1" applyBorder="1" applyAlignment="1"/>
    <xf numFmtId="164" fontId="1" fillId="0" borderId="7" xfId="0" applyNumberFormat="1" applyFont="1" applyBorder="1"/>
    <xf numFmtId="0" fontId="3" fillId="3" borderId="7" xfId="0" applyFont="1" applyFill="1" applyBorder="1" applyAlignment="1"/>
    <xf numFmtId="0" fontId="3" fillId="0" borderId="0" xfId="0" applyFont="1"/>
    <xf numFmtId="14" fontId="3" fillId="3" borderId="17" xfId="0" applyNumberFormat="1" applyFont="1" applyFill="1" applyBorder="1" applyAlignment="1">
      <alignment horizontal="right" vertical="top"/>
    </xf>
    <xf numFmtId="0" fontId="3" fillId="3" borderId="18" xfId="0" applyFont="1" applyFill="1" applyBorder="1" applyAlignment="1">
      <alignment horizontal="right" vertical="top"/>
    </xf>
    <xf numFmtId="0" fontId="3" fillId="3" borderId="18" xfId="0" applyFont="1" applyFill="1" applyBorder="1"/>
    <xf numFmtId="164" fontId="3" fillId="3" borderId="18" xfId="0" applyNumberFormat="1" applyFont="1" applyFill="1" applyBorder="1"/>
    <xf numFmtId="0" fontId="5" fillId="0" borderId="21" xfId="0" applyFont="1" applyBorder="1"/>
    <xf numFmtId="14" fontId="5" fillId="0" borderId="22" xfId="0" applyNumberFormat="1" applyFont="1" applyBorder="1" applyAlignment="1"/>
    <xf numFmtId="14" fontId="5" fillId="0" borderId="23" xfId="0" applyNumberFormat="1" applyFont="1" applyBorder="1" applyAlignment="1"/>
    <xf numFmtId="0" fontId="5" fillId="0" borderId="23" xfId="0" applyFont="1" applyBorder="1"/>
    <xf numFmtId="164" fontId="5" fillId="0" borderId="23" xfId="0" applyNumberFormat="1" applyFont="1" applyBorder="1" applyAlignment="1">
      <alignment horizontal="right"/>
    </xf>
    <xf numFmtId="166" fontId="5" fillId="0" borderId="23" xfId="0" applyNumberFormat="1" applyFont="1" applyBorder="1"/>
    <xf numFmtId="9" fontId="5" fillId="0" borderId="23" xfId="0" applyNumberFormat="1" applyFont="1" applyBorder="1" applyAlignment="1"/>
    <xf numFmtId="166" fontId="1" fillId="2" borderId="6" xfId="0" applyNumberFormat="1" applyFont="1" applyFill="1" applyBorder="1" applyAlignment="1">
      <alignment horizontal="left"/>
    </xf>
    <xf numFmtId="9" fontId="1" fillId="2" borderId="6" xfId="0" applyNumberFormat="1" applyFont="1" applyFill="1" applyBorder="1" applyAlignment="1">
      <alignment horizontal="left"/>
    </xf>
    <xf numFmtId="0" fontId="5" fillId="0" borderId="23" xfId="0" applyFont="1" applyBorder="1" applyAlignment="1"/>
    <xf numFmtId="0" fontId="1" fillId="2" borderId="6" xfId="0" applyFont="1" applyFill="1" applyBorder="1" applyAlignment="1">
      <alignment horizontal="left"/>
    </xf>
    <xf numFmtId="0" fontId="5" fillId="0" borderId="25" xfId="0" applyFont="1" applyBorder="1" applyAlignment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14" fontId="3" fillId="0" borderId="22" xfId="0" applyNumberFormat="1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14" fontId="3" fillId="0" borderId="23" xfId="0" applyNumberFormat="1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23" xfId="0" applyFont="1" applyBorder="1" applyAlignment="1">
      <alignment horizontal="right"/>
    </xf>
    <xf numFmtId="166" fontId="3" fillId="0" borderId="10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horizontal="left"/>
    </xf>
    <xf numFmtId="0" fontId="5" fillId="0" borderId="16" xfId="0" applyFont="1" applyBorder="1" applyAlignment="1">
      <alignment horizontal="right"/>
    </xf>
    <xf numFmtId="9" fontId="3" fillId="0" borderId="10" xfId="0" applyNumberFormat="1" applyFont="1" applyBorder="1" applyAlignment="1">
      <alignment horizontal="left"/>
    </xf>
    <xf numFmtId="14" fontId="5" fillId="3" borderId="17" xfId="0" applyNumberFormat="1" applyFont="1" applyFill="1" applyBorder="1" applyAlignment="1">
      <alignment horizontal="right" vertical="top"/>
    </xf>
    <xf numFmtId="0" fontId="5" fillId="3" borderId="18" xfId="0" applyFont="1" applyFill="1" applyBorder="1" applyAlignment="1">
      <alignment horizontal="right" vertical="top"/>
    </xf>
    <xf numFmtId="0" fontId="3" fillId="0" borderId="14" xfId="0" applyFont="1" applyBorder="1" applyAlignment="1"/>
    <xf numFmtId="0" fontId="5" fillId="3" borderId="18" xfId="0" applyFont="1" applyFill="1" applyBorder="1"/>
    <xf numFmtId="0" fontId="5" fillId="0" borderId="16" xfId="0" applyFont="1" applyBorder="1"/>
    <xf numFmtId="164" fontId="5" fillId="3" borderId="18" xfId="0" applyNumberFormat="1" applyFont="1" applyFill="1" applyBorder="1"/>
    <xf numFmtId="14" fontId="5" fillId="0" borderId="17" xfId="0" applyNumberFormat="1" applyFont="1" applyBorder="1" applyAlignment="1"/>
    <xf numFmtId="14" fontId="5" fillId="0" borderId="18" xfId="0" applyNumberFormat="1" applyFont="1" applyBorder="1" applyAlignment="1"/>
    <xf numFmtId="166" fontId="5" fillId="0" borderId="18" xfId="0" applyNumberFormat="1" applyFont="1" applyBorder="1"/>
    <xf numFmtId="0" fontId="5" fillId="0" borderId="18" xfId="0" applyFont="1" applyBorder="1"/>
    <xf numFmtId="0" fontId="3" fillId="0" borderId="11" xfId="0" applyFont="1" applyBorder="1" applyAlignment="1">
      <alignment horizontal="center"/>
    </xf>
    <xf numFmtId="164" fontId="5" fillId="0" borderId="18" xfId="0" applyNumberFormat="1" applyFont="1" applyBorder="1" applyAlignment="1">
      <alignment horizontal="right"/>
    </xf>
    <xf numFmtId="166" fontId="5" fillId="0" borderId="18" xfId="0" applyNumberFormat="1" applyFont="1" applyBorder="1" applyAlignment="1"/>
    <xf numFmtId="166" fontId="5" fillId="0" borderId="18" xfId="0" applyNumberFormat="1" applyFont="1" applyBorder="1"/>
    <xf numFmtId="0" fontId="5" fillId="0" borderId="18" xfId="0" applyFont="1" applyBorder="1" applyAlignment="1"/>
    <xf numFmtId="9" fontId="5" fillId="0" borderId="18" xfId="0" applyNumberFormat="1" applyFont="1" applyBorder="1" applyAlignment="1"/>
    <xf numFmtId="0" fontId="5" fillId="0" borderId="24" xfId="0" applyFont="1" applyBorder="1" applyAlignment="1"/>
    <xf numFmtId="0" fontId="5" fillId="0" borderId="19" xfId="0" applyFont="1" applyBorder="1" applyAlignment="1"/>
    <xf numFmtId="0" fontId="3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64" fontId="5" fillId="0" borderId="23" xfId="0" applyNumberFormat="1" applyFont="1" applyBorder="1"/>
    <xf numFmtId="0" fontId="3" fillId="0" borderId="7" xfId="0" applyFont="1" applyBorder="1" applyAlignment="1">
      <alignment horizontal="center"/>
    </xf>
    <xf numFmtId="166" fontId="5" fillId="0" borderId="23" xfId="0" applyNumberFormat="1" applyFont="1" applyBorder="1" applyAlignment="1"/>
    <xf numFmtId="0" fontId="3" fillId="0" borderId="7" xfId="0" applyFont="1" applyBorder="1" applyAlignment="1">
      <alignment horizontal="left"/>
    </xf>
    <xf numFmtId="166" fontId="3" fillId="0" borderId="7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left"/>
    </xf>
    <xf numFmtId="9" fontId="3" fillId="0" borderId="7" xfId="0" applyNumberFormat="1" applyFont="1" applyBorder="1" applyAlignment="1">
      <alignment horizontal="left"/>
    </xf>
    <xf numFmtId="0" fontId="5" fillId="0" borderId="8" xfId="0" applyFont="1" applyBorder="1"/>
    <xf numFmtId="0" fontId="3" fillId="0" borderId="14" xfId="0" applyFont="1" applyBorder="1" applyAlignment="1">
      <alignment horizontal="center"/>
    </xf>
    <xf numFmtId="14" fontId="5" fillId="0" borderId="9" xfId="0" applyNumberFormat="1" applyFont="1" applyBorder="1" applyAlignment="1"/>
    <xf numFmtId="0" fontId="3" fillId="0" borderId="16" xfId="0" applyFont="1" applyBorder="1" applyAlignment="1">
      <alignment horizontal="center"/>
    </xf>
    <xf numFmtId="14" fontId="5" fillId="0" borderId="10" xfId="0" applyNumberFormat="1" applyFont="1" applyBorder="1" applyAlignment="1"/>
    <xf numFmtId="0" fontId="3" fillId="0" borderId="21" xfId="0" applyFont="1" applyBorder="1" applyAlignment="1">
      <alignment horizontal="right"/>
    </xf>
    <xf numFmtId="0" fontId="5" fillId="0" borderId="10" xfId="0" applyFont="1" applyBorder="1"/>
    <xf numFmtId="14" fontId="3" fillId="0" borderId="22" xfId="0" applyNumberFormat="1" applyFont="1" applyBorder="1" applyAlignment="1">
      <alignment horizontal="right"/>
    </xf>
    <xf numFmtId="0" fontId="5" fillId="3" borderId="10" xfId="0" applyFont="1" applyFill="1" applyBorder="1" applyAlignment="1">
      <alignment horizontal="left" vertical="top"/>
    </xf>
    <xf numFmtId="8" fontId="3" fillId="0" borderId="23" xfId="0" applyNumberFormat="1" applyFont="1" applyBorder="1"/>
    <xf numFmtId="164" fontId="5" fillId="0" borderId="10" xfId="0" applyNumberFormat="1" applyFont="1" applyBorder="1" applyAlignment="1">
      <alignment horizontal="right"/>
    </xf>
    <xf numFmtId="166" fontId="3" fillId="0" borderId="23" xfId="0" applyNumberFormat="1" applyFont="1" applyBorder="1"/>
    <xf numFmtId="166" fontId="5" fillId="0" borderId="10" xfId="0" applyNumberFormat="1" applyFont="1" applyBorder="1"/>
    <xf numFmtId="9" fontId="5" fillId="0" borderId="10" xfId="0" applyNumberFormat="1" applyFont="1" applyBorder="1" applyAlignment="1"/>
    <xf numFmtId="0" fontId="3" fillId="0" borderId="17" xfId="0" applyFont="1" applyBorder="1" applyAlignment="1">
      <alignment horizontal="center"/>
    </xf>
    <xf numFmtId="166" fontId="3" fillId="0" borderId="23" xfId="0" applyNumberFormat="1" applyFont="1" applyBorder="1" applyAlignment="1"/>
    <xf numFmtId="166" fontId="5" fillId="0" borderId="10" xfId="0" applyNumberFormat="1" applyFont="1" applyBorder="1" applyAlignment="1"/>
    <xf numFmtId="14" fontId="3" fillId="0" borderId="17" xfId="0" applyNumberFormat="1" applyFont="1" applyBorder="1" applyAlignment="1">
      <alignment horizontal="center"/>
    </xf>
    <xf numFmtId="0" fontId="5" fillId="0" borderId="11" xfId="0" applyFont="1" applyBorder="1" applyAlignment="1"/>
    <xf numFmtId="0" fontId="3" fillId="0" borderId="18" xfId="0" applyFont="1" applyBorder="1" applyAlignment="1">
      <alignment horizontal="center"/>
    </xf>
    <xf numFmtId="164" fontId="5" fillId="0" borderId="18" xfId="0" applyNumberFormat="1" applyFont="1" applyBorder="1"/>
    <xf numFmtId="0" fontId="3" fillId="0" borderId="18" xfId="0" applyFont="1" applyBorder="1" applyAlignment="1">
      <alignment horizontal="left"/>
    </xf>
    <xf numFmtId="166" fontId="5" fillId="0" borderId="18" xfId="0" applyNumberFormat="1" applyFont="1" applyBorder="1" applyAlignment="1"/>
    <xf numFmtId="166" fontId="3" fillId="0" borderId="18" xfId="0" applyNumberFormat="1" applyFont="1" applyBorder="1" applyAlignment="1">
      <alignment horizontal="center"/>
    </xf>
    <xf numFmtId="0" fontId="4" fillId="0" borderId="26" xfId="0" applyFont="1" applyBorder="1" applyAlignment="1"/>
    <xf numFmtId="166" fontId="3" fillId="0" borderId="18" xfId="0" applyNumberFormat="1" applyFont="1" applyBorder="1" applyAlignment="1">
      <alignment horizontal="left"/>
    </xf>
    <xf numFmtId="9" fontId="3" fillId="0" borderId="18" xfId="0" applyNumberFormat="1" applyFont="1" applyBorder="1" applyAlignment="1">
      <alignment horizontal="left"/>
    </xf>
    <xf numFmtId="0" fontId="3" fillId="3" borderId="8" xfId="0" applyFont="1" applyFill="1" applyBorder="1" applyAlignment="1">
      <alignment horizontal="right"/>
    </xf>
    <xf numFmtId="0" fontId="3" fillId="0" borderId="19" xfId="0" applyFont="1" applyBorder="1" applyAlignment="1">
      <alignment horizontal="center"/>
    </xf>
    <xf numFmtId="166" fontId="3" fillId="3" borderId="10" xfId="0" applyNumberFormat="1" applyFont="1" applyFill="1" applyBorder="1"/>
    <xf numFmtId="0" fontId="3" fillId="3" borderId="12" xfId="0" applyFont="1" applyFill="1" applyBorder="1" applyAlignment="1">
      <alignment horizontal="right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4" fontId="3" fillId="0" borderId="22" xfId="0" applyNumberFormat="1" applyFont="1" applyBorder="1" applyAlignment="1">
      <alignment horizontal="center"/>
    </xf>
    <xf numFmtId="166" fontId="3" fillId="3" borderId="7" xfId="0" applyNumberFormat="1" applyFont="1" applyFill="1" applyBorder="1"/>
    <xf numFmtId="0" fontId="3" fillId="0" borderId="23" xfId="0" applyFont="1" applyBorder="1" applyAlignment="1">
      <alignment horizontal="center"/>
    </xf>
    <xf numFmtId="0" fontId="3" fillId="3" borderId="16" xfId="0" applyFont="1" applyFill="1" applyBorder="1" applyAlignment="1">
      <alignment horizontal="right"/>
    </xf>
    <xf numFmtId="0" fontId="3" fillId="0" borderId="26" xfId="0" applyFont="1" applyBorder="1" applyAlignment="1">
      <alignment horizontal="left"/>
    </xf>
    <xf numFmtId="166" fontId="3" fillId="0" borderId="23" xfId="0" applyNumberFormat="1" applyFont="1" applyBorder="1" applyAlignment="1">
      <alignment horizontal="center"/>
    </xf>
    <xf numFmtId="166" fontId="3" fillId="3" borderId="18" xfId="0" applyNumberFormat="1" applyFont="1" applyFill="1" applyBorder="1" applyAlignment="1"/>
    <xf numFmtId="166" fontId="3" fillId="0" borderId="23" xfId="0" applyNumberFormat="1" applyFont="1" applyBorder="1" applyAlignment="1">
      <alignment horizontal="left"/>
    </xf>
    <xf numFmtId="0" fontId="3" fillId="3" borderId="18" xfId="0" applyFont="1" applyFill="1" applyBorder="1" applyAlignment="1"/>
    <xf numFmtId="9" fontId="3" fillId="0" borderId="23" xfId="0" applyNumberFormat="1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/>
    <xf numFmtId="164" fontId="3" fillId="0" borderId="15" xfId="0" applyNumberFormat="1" applyFont="1" applyBorder="1" applyAlignment="1">
      <alignment horizontal="right"/>
    </xf>
    <xf numFmtId="0" fontId="3" fillId="0" borderId="23" xfId="0" applyFont="1" applyBorder="1" applyAlignment="1">
      <alignment horizontal="left"/>
    </xf>
    <xf numFmtId="165" fontId="3" fillId="0" borderId="15" xfId="0" applyNumberFormat="1" applyFont="1" applyBorder="1"/>
    <xf numFmtId="0" fontId="3" fillId="0" borderId="25" xfId="0" applyFont="1" applyBorder="1" applyAlignment="1">
      <alignment horizontal="center"/>
    </xf>
    <xf numFmtId="9" fontId="3" fillId="0" borderId="15" xfId="0" applyNumberFormat="1" applyFont="1" applyBorder="1" applyAlignment="1"/>
    <xf numFmtId="0" fontId="3" fillId="3" borderId="5" xfId="0" applyFont="1" applyFill="1" applyBorder="1" applyAlignment="1">
      <alignment horizontal="right" vertical="top"/>
    </xf>
    <xf numFmtId="166" fontId="3" fillId="0" borderId="15" xfId="0" applyNumberFormat="1" applyFont="1" applyBorder="1"/>
    <xf numFmtId="0" fontId="3" fillId="3" borderId="7" xfId="0" applyFont="1" applyFill="1" applyBorder="1" applyAlignment="1">
      <alignment horizontal="right" vertical="center"/>
    </xf>
    <xf numFmtId="0" fontId="4" fillId="0" borderId="15" xfId="0" applyFont="1" applyBorder="1" applyAlignment="1"/>
    <xf numFmtId="0" fontId="3" fillId="0" borderId="23" xfId="0" applyFont="1" applyBorder="1" applyAlignment="1">
      <alignment horizontal="left"/>
    </xf>
    <xf numFmtId="0" fontId="3" fillId="3" borderId="21" xfId="0" applyFont="1" applyFill="1" applyBorder="1" applyAlignment="1">
      <alignment horizontal="center"/>
    </xf>
    <xf numFmtId="166" fontId="3" fillId="3" borderId="7" xfId="0" applyNumberFormat="1" applyFont="1" applyFill="1" applyBorder="1" applyAlignment="1"/>
    <xf numFmtId="164" fontId="1" fillId="0" borderId="7" xfId="0" applyNumberFormat="1" applyFont="1" applyBorder="1"/>
    <xf numFmtId="0" fontId="3" fillId="3" borderId="22" xfId="0" applyFont="1" applyFill="1" applyBorder="1" applyAlignment="1">
      <alignment horizontal="center"/>
    </xf>
    <xf numFmtId="9" fontId="1" fillId="0" borderId="7" xfId="0" applyNumberFormat="1" applyFont="1" applyBorder="1"/>
    <xf numFmtId="14" fontId="3" fillId="3" borderId="22" xfId="0" applyNumberFormat="1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0" borderId="0" xfId="0" applyFont="1"/>
    <xf numFmtId="0" fontId="3" fillId="3" borderId="23" xfId="0" applyFont="1" applyFill="1" applyBorder="1" applyAlignment="1">
      <alignment horizontal="left"/>
    </xf>
    <xf numFmtId="0" fontId="4" fillId="0" borderId="0" xfId="0" applyFont="1"/>
    <xf numFmtId="166" fontId="3" fillId="3" borderId="23" xfId="0" applyNumberFormat="1" applyFont="1" applyFill="1" applyBorder="1" applyAlignment="1">
      <alignment horizontal="center"/>
    </xf>
    <xf numFmtId="166" fontId="3" fillId="0" borderId="23" xfId="0" applyNumberFormat="1" applyFont="1" applyBorder="1" applyAlignment="1">
      <alignment horizontal="left"/>
    </xf>
    <xf numFmtId="166" fontId="3" fillId="0" borderId="10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14" fontId="3" fillId="0" borderId="0" xfId="0" applyNumberFormat="1" applyFont="1" applyAlignment="1">
      <alignment horizontal="right" vertical="top"/>
    </xf>
    <xf numFmtId="9" fontId="3" fillId="0" borderId="7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9" fontId="3" fillId="0" borderId="18" xfId="0" applyNumberFormat="1" applyFont="1" applyBorder="1" applyAlignment="1">
      <alignment horizontal="left"/>
    </xf>
    <xf numFmtId="164" fontId="1" fillId="2" borderId="6" xfId="0" applyNumberFormat="1" applyFont="1" applyFill="1" applyBorder="1" applyAlignment="1">
      <alignment horizontal="center" vertical="center"/>
    </xf>
    <xf numFmtId="166" fontId="3" fillId="0" borderId="27" xfId="0" applyNumberFormat="1" applyFont="1" applyBorder="1" applyAlignment="1">
      <alignment horizontal="center"/>
    </xf>
    <xf numFmtId="166" fontId="1" fillId="2" borderId="6" xfId="0" applyNumberFormat="1" applyFont="1" applyFill="1" applyBorder="1" applyAlignment="1">
      <alignment horizontal="center" vertical="center"/>
    </xf>
    <xf numFmtId="166" fontId="3" fillId="0" borderId="27" xfId="0" applyNumberFormat="1" applyFont="1" applyBorder="1" applyAlignment="1">
      <alignment horizontal="left"/>
    </xf>
    <xf numFmtId="9" fontId="3" fillId="0" borderId="27" xfId="0" applyNumberFormat="1" applyFont="1" applyBorder="1" applyAlignment="1">
      <alignment horizontal="left"/>
    </xf>
    <xf numFmtId="0" fontId="3" fillId="0" borderId="10" xfId="0" applyFont="1" applyBorder="1" applyAlignment="1">
      <alignment horizontal="right"/>
    </xf>
    <xf numFmtId="9" fontId="1" fillId="2" borderId="6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14" fontId="3" fillId="0" borderId="7" xfId="0" applyNumberFormat="1" applyFont="1" applyBorder="1" applyAlignment="1">
      <alignment horizontal="right" vertical="top"/>
    </xf>
    <xf numFmtId="0" fontId="3" fillId="0" borderId="23" xfId="0" applyFont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left"/>
    </xf>
    <xf numFmtId="0" fontId="3" fillId="0" borderId="23" xfId="0" applyFont="1" applyBorder="1" applyAlignment="1">
      <alignment vertical="center"/>
    </xf>
    <xf numFmtId="164" fontId="3" fillId="0" borderId="23" xfId="0" applyNumberFormat="1" applyFont="1" applyBorder="1" applyAlignment="1">
      <alignment vertical="center"/>
    </xf>
    <xf numFmtId="9" fontId="3" fillId="0" borderId="6" xfId="0" applyNumberFormat="1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166" fontId="3" fillId="0" borderId="23" xfId="0" applyNumberFormat="1" applyFont="1" applyBorder="1" applyAlignment="1">
      <alignment vertical="center"/>
    </xf>
    <xf numFmtId="0" fontId="3" fillId="0" borderId="18" xfId="0" applyFont="1" applyBorder="1" applyAlignment="1">
      <alignment horizontal="left"/>
    </xf>
    <xf numFmtId="166" fontId="3" fillId="0" borderId="18" xfId="0" applyNumberFormat="1" applyFont="1" applyBorder="1" applyAlignment="1">
      <alignment horizontal="center"/>
    </xf>
    <xf numFmtId="9" fontId="3" fillId="0" borderId="23" xfId="0" applyNumberFormat="1" applyFont="1" applyBorder="1" applyAlignment="1">
      <alignment vertical="center"/>
    </xf>
    <xf numFmtId="166" fontId="3" fillId="0" borderId="18" xfId="0" applyNumberFormat="1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166" fontId="3" fillId="3" borderId="18" xfId="0" applyNumberFormat="1" applyFont="1" applyFill="1" applyBorder="1"/>
    <xf numFmtId="0" fontId="3" fillId="0" borderId="23" xfId="0" applyFont="1" applyBorder="1" applyAlignment="1">
      <alignment vertical="center"/>
    </xf>
    <xf numFmtId="14" fontId="3" fillId="0" borderId="0" xfId="0" applyNumberFormat="1" applyFont="1" applyAlignment="1">
      <alignment horizontal="right"/>
    </xf>
    <xf numFmtId="0" fontId="6" fillId="0" borderId="23" xfId="0" applyFont="1" applyBorder="1" applyAlignment="1">
      <alignment vertical="center"/>
    </xf>
    <xf numFmtId="0" fontId="3" fillId="3" borderId="10" xfId="0" applyFont="1" applyFill="1" applyBorder="1" applyAlignment="1"/>
    <xf numFmtId="0" fontId="6" fillId="0" borderId="25" xfId="0" applyFont="1" applyBorder="1" applyAlignment="1">
      <alignment vertical="center"/>
    </xf>
    <xf numFmtId="166" fontId="5" fillId="0" borderId="10" xfId="0" applyNumberFormat="1" applyFont="1" applyBorder="1" applyAlignment="1">
      <alignment horizontal="center"/>
    </xf>
    <xf numFmtId="14" fontId="3" fillId="0" borderId="23" xfId="0" applyNumberFormat="1" applyFont="1" applyBorder="1" applyAlignment="1">
      <alignment horizontal="center" vertical="center"/>
    </xf>
    <xf numFmtId="166" fontId="5" fillId="0" borderId="10" xfId="0" applyNumberFormat="1" applyFont="1" applyBorder="1" applyAlignment="1">
      <alignment horizontal="left"/>
    </xf>
    <xf numFmtId="9" fontId="5" fillId="0" borderId="10" xfId="0" applyNumberFormat="1" applyFont="1" applyBorder="1" applyAlignment="1">
      <alignment horizontal="left"/>
    </xf>
    <xf numFmtId="164" fontId="3" fillId="0" borderId="23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right"/>
    </xf>
    <xf numFmtId="0" fontId="5" fillId="0" borderId="10" xfId="0" applyFont="1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14" fontId="3" fillId="0" borderId="10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/>
    </xf>
    <xf numFmtId="0" fontId="3" fillId="0" borderId="10" xfId="0" applyFont="1" applyBorder="1" applyAlignment="1">
      <alignment vertical="center"/>
    </xf>
    <xf numFmtId="0" fontId="5" fillId="0" borderId="7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166" fontId="3" fillId="0" borderId="10" xfId="0" applyNumberFormat="1" applyFont="1" applyBorder="1" applyAlignment="1">
      <alignment vertical="center"/>
    </xf>
    <xf numFmtId="166" fontId="5" fillId="0" borderId="7" xfId="0" applyNumberFormat="1" applyFont="1" applyBorder="1" applyAlignment="1">
      <alignment horizontal="center"/>
    </xf>
    <xf numFmtId="9" fontId="3" fillId="0" borderId="10" xfId="0" applyNumberFormat="1" applyFont="1" applyBorder="1" applyAlignment="1">
      <alignment vertical="center"/>
    </xf>
    <xf numFmtId="14" fontId="3" fillId="0" borderId="7" xfId="0" applyNumberFormat="1" applyFont="1" applyBorder="1" applyAlignment="1">
      <alignment horizontal="right"/>
    </xf>
    <xf numFmtId="0" fontId="3" fillId="0" borderId="1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166" fontId="5" fillId="0" borderId="7" xfId="0" applyNumberFormat="1" applyFont="1" applyBorder="1" applyAlignment="1">
      <alignment horizontal="left"/>
    </xf>
    <xf numFmtId="9" fontId="5" fillId="0" borderId="7" xfId="0" applyNumberFormat="1" applyFont="1" applyBorder="1" applyAlignment="1">
      <alignment horizontal="left"/>
    </xf>
    <xf numFmtId="0" fontId="6" fillId="0" borderId="11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5" fillId="3" borderId="12" xfId="0" applyFont="1" applyFill="1" applyBorder="1" applyAlignment="1">
      <alignment horizontal="right"/>
    </xf>
    <xf numFmtId="164" fontId="3" fillId="0" borderId="7" xfId="0" applyNumberFormat="1" applyFont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right" vertical="top"/>
    </xf>
    <xf numFmtId="166" fontId="3" fillId="0" borderId="7" xfId="0" applyNumberFormat="1" applyFont="1" applyBorder="1" applyAlignment="1">
      <alignment vertical="center"/>
    </xf>
    <xf numFmtId="0" fontId="5" fillId="3" borderId="7" xfId="0" applyFont="1" applyFill="1" applyBorder="1" applyAlignment="1">
      <alignment horizontal="right" vertical="top"/>
    </xf>
    <xf numFmtId="9" fontId="3" fillId="0" borderId="7" xfId="0" applyNumberFormat="1" applyFont="1" applyBorder="1" applyAlignment="1">
      <alignment vertical="center"/>
    </xf>
    <xf numFmtId="0" fontId="5" fillId="3" borderId="7" xfId="0" applyFont="1" applyFill="1" applyBorder="1"/>
    <xf numFmtId="0" fontId="3" fillId="0" borderId="7" xfId="0" applyFont="1" applyBorder="1" applyAlignment="1">
      <alignment vertical="center"/>
    </xf>
    <xf numFmtId="164" fontId="5" fillId="3" borderId="7" xfId="0" applyNumberFormat="1" applyFont="1" applyFill="1" applyBorder="1"/>
    <xf numFmtId="166" fontId="5" fillId="0" borderId="7" xfId="0" applyNumberFormat="1" applyFont="1" applyBorder="1"/>
    <xf numFmtId="0" fontId="6" fillId="0" borderId="7" xfId="0" applyFont="1" applyBorder="1" applyAlignment="1">
      <alignment vertical="center"/>
    </xf>
    <xf numFmtId="9" fontId="5" fillId="0" borderId="7" xfId="0" applyNumberFormat="1" applyFont="1" applyBorder="1" applyAlignment="1"/>
    <xf numFmtId="0" fontId="6" fillId="0" borderId="14" xfId="0" applyFont="1" applyBorder="1" applyAlignment="1">
      <alignment vertical="center"/>
    </xf>
    <xf numFmtId="14" fontId="5" fillId="0" borderId="1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166" fontId="5" fillId="0" borderId="7" xfId="0" applyNumberFormat="1" applyFont="1" applyBorder="1" applyAlignment="1"/>
    <xf numFmtId="0" fontId="3" fillId="0" borderId="16" xfId="0" applyFont="1" applyBorder="1" applyAlignment="1">
      <alignment horizontal="center" vertical="center" wrapText="1"/>
    </xf>
    <xf numFmtId="0" fontId="5" fillId="0" borderId="7" xfId="0" applyFont="1" applyBorder="1" applyAlignment="1"/>
    <xf numFmtId="0" fontId="3" fillId="0" borderId="18" xfId="0" applyFont="1" applyBorder="1" applyAlignment="1">
      <alignment horizontal="center" vertical="center"/>
    </xf>
    <xf numFmtId="0" fontId="5" fillId="0" borderId="3" xfId="0" applyFont="1" applyBorder="1" applyAlignment="1"/>
    <xf numFmtId="14" fontId="3" fillId="0" borderId="18" xfId="0" applyNumberFormat="1" applyFont="1" applyBorder="1" applyAlignment="1">
      <alignment horizontal="center" vertical="center"/>
    </xf>
    <xf numFmtId="0" fontId="5" fillId="0" borderId="14" xfId="0" applyFont="1" applyBorder="1" applyAlignment="1"/>
    <xf numFmtId="0" fontId="3" fillId="0" borderId="18" xfId="0" applyFont="1" applyBorder="1" applyAlignment="1">
      <alignment vertical="center"/>
    </xf>
    <xf numFmtId="164" fontId="3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166" fontId="3" fillId="0" borderId="18" xfId="0" applyNumberFormat="1" applyFont="1" applyBorder="1" applyAlignment="1">
      <alignment vertical="center"/>
    </xf>
    <xf numFmtId="14" fontId="3" fillId="3" borderId="17" xfId="0" applyNumberFormat="1" applyFont="1" applyFill="1" applyBorder="1" applyAlignment="1"/>
    <xf numFmtId="9" fontId="3" fillId="0" borderId="18" xfId="0" applyNumberFormat="1" applyFont="1" applyBorder="1" applyAlignment="1">
      <alignment vertical="center"/>
    </xf>
    <xf numFmtId="166" fontId="5" fillId="0" borderId="18" xfId="0" applyNumberFormat="1" applyFont="1" applyBorder="1" applyAlignment="1">
      <alignment horizontal="center"/>
    </xf>
    <xf numFmtId="0" fontId="3" fillId="0" borderId="18" xfId="0" applyFont="1" applyBorder="1" applyAlignment="1">
      <alignment vertical="center"/>
    </xf>
    <xf numFmtId="166" fontId="5" fillId="0" borderId="18" xfId="0" applyNumberFormat="1" applyFont="1" applyBorder="1" applyAlignment="1">
      <alignment horizontal="left"/>
    </xf>
    <xf numFmtId="0" fontId="6" fillId="0" borderId="18" xfId="0" applyFont="1" applyBorder="1" applyAlignment="1">
      <alignment vertical="center"/>
    </xf>
    <xf numFmtId="9" fontId="5" fillId="0" borderId="18" xfId="0" applyNumberFormat="1" applyFont="1" applyBorder="1" applyAlignment="1">
      <alignment horizontal="left"/>
    </xf>
    <xf numFmtId="0" fontId="6" fillId="0" borderId="19" xfId="0" applyFont="1" applyBorder="1" applyAlignment="1">
      <alignment vertical="center"/>
    </xf>
    <xf numFmtId="14" fontId="3" fillId="3" borderId="9" xfId="0" applyNumberFormat="1" applyFont="1" applyFill="1" applyBorder="1" applyAlignment="1">
      <alignment horizontal="right"/>
    </xf>
    <xf numFmtId="0" fontId="5" fillId="0" borderId="18" xfId="0" applyFont="1" applyBorder="1" applyAlignment="1">
      <alignment horizontal="left"/>
    </xf>
    <xf numFmtId="0" fontId="3" fillId="3" borderId="10" xfId="0" applyFont="1" applyFill="1" applyBorder="1" applyAlignment="1">
      <alignment horizontal="right"/>
    </xf>
    <xf numFmtId="0" fontId="5" fillId="0" borderId="19" xfId="0" applyFont="1" applyBorder="1" applyAlignment="1">
      <alignment horizontal="center"/>
    </xf>
    <xf numFmtId="14" fontId="3" fillId="3" borderId="5" xfId="0" applyNumberFormat="1" applyFont="1" applyFill="1" applyBorder="1" applyAlignment="1">
      <alignment horizontal="right"/>
    </xf>
    <xf numFmtId="0" fontId="3" fillId="0" borderId="21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right"/>
    </xf>
    <xf numFmtId="164" fontId="3" fillId="0" borderId="23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left"/>
    </xf>
    <xf numFmtId="0" fontId="3" fillId="0" borderId="10" xfId="0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4" fontId="3" fillId="3" borderId="5" xfId="0" applyNumberFormat="1" applyFont="1" applyFill="1" applyBorder="1" applyAlignment="1"/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center" vertical="center"/>
    </xf>
    <xf numFmtId="14" fontId="3" fillId="3" borderId="22" xfId="0" applyNumberFormat="1" applyFont="1" applyFill="1" applyBorder="1" applyAlignment="1">
      <alignment horizontal="right" vertical="top"/>
    </xf>
    <xf numFmtId="0" fontId="3" fillId="3" borderId="23" xfId="0" applyFont="1" applyFill="1" applyBorder="1" applyAlignment="1">
      <alignment horizontal="right" vertical="top"/>
    </xf>
    <xf numFmtId="0" fontId="3" fillId="3" borderId="23" xfId="0" applyFont="1" applyFill="1" applyBorder="1"/>
    <xf numFmtId="164" fontId="3" fillId="3" borderId="23" xfId="0" applyNumberFormat="1" applyFont="1" applyFill="1" applyBorder="1"/>
    <xf numFmtId="0" fontId="3" fillId="0" borderId="18" xfId="0" applyFont="1" applyBorder="1" applyAlignment="1">
      <alignment horizontal="center" vertical="center"/>
    </xf>
    <xf numFmtId="14" fontId="3" fillId="0" borderId="18" xfId="0" applyNumberFormat="1" applyFont="1" applyBorder="1" applyAlignment="1">
      <alignment horizontal="center" vertical="center"/>
    </xf>
    <xf numFmtId="0" fontId="3" fillId="3" borderId="22" xfId="0" applyFont="1" applyFill="1" applyBorder="1" applyAlignment="1">
      <alignment horizontal="right" vertical="top"/>
    </xf>
    <xf numFmtId="0" fontId="5" fillId="0" borderId="21" xfId="0" applyFont="1" applyBorder="1" applyAlignment="1">
      <alignment horizontal="right"/>
    </xf>
    <xf numFmtId="14" fontId="5" fillId="3" borderId="22" xfId="0" applyNumberFormat="1" applyFont="1" applyFill="1" applyBorder="1" applyAlignment="1">
      <alignment horizontal="right" vertical="top"/>
    </xf>
    <xf numFmtId="0" fontId="5" fillId="3" borderId="23" xfId="0" applyFont="1" applyFill="1" applyBorder="1" applyAlignment="1">
      <alignment horizontal="right" vertical="top"/>
    </xf>
    <xf numFmtId="0" fontId="5" fillId="3" borderId="23" xfId="0" applyFont="1" applyFill="1" applyBorder="1"/>
    <xf numFmtId="164" fontId="5" fillId="3" borderId="23" xfId="0" applyNumberFormat="1" applyFont="1" applyFill="1" applyBorder="1"/>
    <xf numFmtId="166" fontId="3" fillId="0" borderId="15" xfId="0" applyNumberFormat="1" applyFont="1" applyBorder="1" applyAlignment="1">
      <alignment vertical="center"/>
    </xf>
    <xf numFmtId="166" fontId="5" fillId="0" borderId="23" xfId="0" applyNumberFormat="1" applyFont="1" applyBorder="1"/>
    <xf numFmtId="9" fontId="3" fillId="0" borderId="15" xfId="0" applyNumberFormat="1" applyFont="1" applyBorder="1" applyAlignment="1">
      <alignment vertical="center"/>
    </xf>
    <xf numFmtId="166" fontId="5" fillId="0" borderId="23" xfId="0" applyNumberFormat="1" applyFont="1" applyBorder="1" applyAlignment="1"/>
    <xf numFmtId="0" fontId="5" fillId="0" borderId="26" xfId="0" applyFont="1" applyBorder="1" applyAlignment="1"/>
    <xf numFmtId="0" fontId="3" fillId="0" borderId="8" xfId="0" applyFont="1" applyBorder="1" applyAlignment="1">
      <alignment horizontal="center"/>
    </xf>
    <xf numFmtId="166" fontId="3" fillId="0" borderId="29" xfId="0" applyNumberFormat="1" applyFont="1" applyBorder="1" applyAlignment="1">
      <alignment vertical="center"/>
    </xf>
    <xf numFmtId="164" fontId="3" fillId="3" borderId="7" xfId="0" applyNumberFormat="1" applyFont="1" applyFill="1" applyBorder="1" applyAlignment="1">
      <alignment horizontal="right"/>
    </xf>
    <xf numFmtId="9" fontId="3" fillId="0" borderId="29" xfId="0" applyNumberFormat="1" applyFont="1" applyBorder="1" applyAlignment="1">
      <alignment vertical="center"/>
    </xf>
    <xf numFmtId="166" fontId="3" fillId="0" borderId="7" xfId="0" applyNumberFormat="1" applyFont="1" applyBorder="1" applyAlignment="1">
      <alignment horizontal="center"/>
    </xf>
    <xf numFmtId="164" fontId="3" fillId="3" borderId="18" xfId="0" applyNumberFormat="1" applyFont="1" applyFill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22" xfId="0" applyFont="1" applyBorder="1" applyAlignment="1">
      <alignment horizontal="right" vertical="top"/>
    </xf>
    <xf numFmtId="14" fontId="4" fillId="0" borderId="22" xfId="0" applyNumberFormat="1" applyFont="1" applyBorder="1" applyAlignment="1">
      <alignment horizontal="right" vertical="top"/>
    </xf>
    <xf numFmtId="0" fontId="4" fillId="0" borderId="23" xfId="0" applyFont="1" applyBorder="1" applyAlignment="1">
      <alignment horizontal="right" vertical="top"/>
    </xf>
    <xf numFmtId="0" fontId="4" fillId="0" borderId="23" xfId="0" applyFont="1" applyBorder="1"/>
    <xf numFmtId="164" fontId="4" fillId="0" borderId="23" xfId="0" applyNumberFormat="1" applyFont="1" applyBorder="1"/>
    <xf numFmtId="164" fontId="3" fillId="0" borderId="29" xfId="0" applyNumberFormat="1" applyFont="1" applyBorder="1" applyAlignment="1">
      <alignment horizontal="center" vertical="center"/>
    </xf>
    <xf numFmtId="166" fontId="4" fillId="0" borderId="23" xfId="0" applyNumberFormat="1" applyFont="1" applyBorder="1"/>
    <xf numFmtId="9" fontId="4" fillId="0" borderId="23" xfId="0" applyNumberFormat="1" applyFont="1" applyBorder="1" applyAlignment="1"/>
    <xf numFmtId="0" fontId="4" fillId="0" borderId="23" xfId="0" applyFont="1" applyBorder="1" applyAlignment="1"/>
    <xf numFmtId="0" fontId="5" fillId="0" borderId="8" xfId="0" applyFont="1" applyBorder="1" applyAlignment="1">
      <alignment horizontal="right"/>
    </xf>
    <xf numFmtId="14" fontId="5" fillId="0" borderId="9" xfId="0" applyNumberFormat="1" applyFont="1" applyBorder="1" applyAlignment="1">
      <alignment horizontal="right" vertical="top"/>
    </xf>
    <xf numFmtId="0" fontId="5" fillId="0" borderId="21" xfId="0" applyFont="1" applyBorder="1" applyAlignment="1">
      <alignment horizontal="center"/>
    </xf>
    <xf numFmtId="0" fontId="5" fillId="0" borderId="10" xfId="0" applyFont="1" applyBorder="1" applyAlignment="1">
      <alignment horizontal="right" vertical="top"/>
    </xf>
    <xf numFmtId="0" fontId="5" fillId="0" borderId="22" xfId="0" applyFont="1" applyBorder="1" applyAlignment="1">
      <alignment horizontal="center"/>
    </xf>
    <xf numFmtId="14" fontId="5" fillId="0" borderId="22" xfId="0" applyNumberFormat="1" applyFont="1" applyBorder="1" applyAlignment="1">
      <alignment horizontal="center"/>
    </xf>
    <xf numFmtId="164" fontId="5" fillId="0" borderId="10" xfId="0" applyNumberFormat="1" applyFont="1" applyBorder="1"/>
    <xf numFmtId="0" fontId="5" fillId="0" borderId="23" xfId="0" applyFont="1" applyBorder="1" applyAlignment="1">
      <alignment horizontal="center"/>
    </xf>
    <xf numFmtId="166" fontId="5" fillId="0" borderId="10" xfId="0" applyNumberFormat="1" applyFont="1" applyBorder="1"/>
    <xf numFmtId="0" fontId="5" fillId="0" borderId="23" xfId="0" applyFont="1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166" fontId="5" fillId="0" borderId="10" xfId="0" applyNumberFormat="1" applyFont="1" applyBorder="1" applyAlignment="1"/>
    <xf numFmtId="166" fontId="5" fillId="0" borderId="23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left"/>
    </xf>
    <xf numFmtId="164" fontId="3" fillId="0" borderId="15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left"/>
    </xf>
    <xf numFmtId="0" fontId="5" fillId="0" borderId="10" xfId="0" applyFont="1" applyBorder="1" applyAlignment="1"/>
    <xf numFmtId="0" fontId="3" fillId="0" borderId="1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/>
    </xf>
    <xf numFmtId="164" fontId="3" fillId="0" borderId="29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/>
    </xf>
    <xf numFmtId="166" fontId="3" fillId="0" borderId="23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/>
    </xf>
    <xf numFmtId="166" fontId="3" fillId="0" borderId="23" xfId="0" applyNumberFormat="1" applyFont="1" applyBorder="1" applyAlignment="1">
      <alignment horizontal="right"/>
    </xf>
    <xf numFmtId="166" fontId="3" fillId="0" borderId="10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right" vertical="top"/>
    </xf>
    <xf numFmtId="0" fontId="3" fillId="0" borderId="23" xfId="0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66" fontId="3" fillId="0" borderId="1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166" fontId="3" fillId="0" borderId="18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/>
    </xf>
    <xf numFmtId="166" fontId="5" fillId="0" borderId="23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right"/>
    </xf>
    <xf numFmtId="9" fontId="5" fillId="0" borderId="23" xfId="0" applyNumberFormat="1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14" fontId="3" fillId="0" borderId="9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17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4" fontId="3" fillId="0" borderId="22" xfId="0" applyNumberFormat="1" applyFont="1" applyBorder="1" applyAlignment="1">
      <alignment horizontal="center"/>
    </xf>
    <xf numFmtId="166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166" fontId="3" fillId="0" borderId="23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166" fontId="3" fillId="0" borderId="15" xfId="0" applyNumberFormat="1" applyFont="1" applyBorder="1" applyAlignment="1">
      <alignment horizontal="center" vertical="center"/>
    </xf>
    <xf numFmtId="166" fontId="3" fillId="0" borderId="15" xfId="0" applyNumberFormat="1" applyFont="1" applyBorder="1" applyAlignment="1">
      <alignment horizontal="left"/>
    </xf>
    <xf numFmtId="9" fontId="3" fillId="0" borderId="15" xfId="0" applyNumberFormat="1" applyFont="1" applyBorder="1" applyAlignment="1">
      <alignment horizontal="left"/>
    </xf>
    <xf numFmtId="0" fontId="3" fillId="3" borderId="12" xfId="0" applyFont="1" applyFill="1" applyBorder="1" applyAlignment="1">
      <alignment horizontal="right" vertical="top"/>
    </xf>
    <xf numFmtId="0" fontId="3" fillId="0" borderId="15" xfId="0" applyFont="1" applyBorder="1" applyAlignment="1">
      <alignment horizontal="left"/>
    </xf>
    <xf numFmtId="14" fontId="3" fillId="0" borderId="5" xfId="0" applyNumberFormat="1" applyFont="1" applyBorder="1" applyAlignment="1"/>
    <xf numFmtId="14" fontId="3" fillId="0" borderId="7" xfId="0" applyNumberFormat="1" applyFont="1" applyBorder="1" applyAlignment="1">
      <alignment horizontal="center"/>
    </xf>
    <xf numFmtId="166" fontId="3" fillId="3" borderId="10" xfId="0" applyNumberFormat="1" applyFont="1" applyFill="1" applyBorder="1" applyAlignment="1"/>
    <xf numFmtId="0" fontId="3" fillId="0" borderId="7" xfId="0" applyFont="1" applyBorder="1" applyAlignment="1">
      <alignment horizontal="center" vertical="center" wrapText="1"/>
    </xf>
    <xf numFmtId="166" fontId="1" fillId="0" borderId="7" xfId="0" applyNumberFormat="1" applyFont="1" applyBorder="1" applyAlignment="1">
      <alignment horizontal="center"/>
    </xf>
    <xf numFmtId="0" fontId="3" fillId="3" borderId="18" xfId="0" applyFont="1" applyFill="1" applyBorder="1" applyAlignment="1">
      <alignment horizontal="right" vertical="top"/>
    </xf>
    <xf numFmtId="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/>
    </xf>
    <xf numFmtId="0" fontId="5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164" fontId="5" fillId="0" borderId="15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6" fontId="5" fillId="0" borderId="15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9" fontId="5" fillId="0" borderId="15" xfId="0" applyNumberFormat="1" applyFont="1" applyBorder="1" applyAlignment="1">
      <alignment vertical="center"/>
    </xf>
    <xf numFmtId="14" fontId="3" fillId="0" borderId="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8" fontId="3" fillId="0" borderId="18" xfId="0" applyNumberFormat="1" applyFont="1" applyBorder="1"/>
    <xf numFmtId="0" fontId="6" fillId="0" borderId="3" xfId="0" applyFont="1" applyBorder="1" applyAlignment="1">
      <alignment horizontal="center" vertical="center"/>
    </xf>
    <xf numFmtId="0" fontId="5" fillId="3" borderId="21" xfId="0" applyFont="1" applyFill="1" applyBorder="1" applyAlignment="1">
      <alignment horizontal="right"/>
    </xf>
    <xf numFmtId="14" fontId="5" fillId="0" borderId="22" xfId="0" applyNumberFormat="1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8" fontId="5" fillId="0" borderId="23" xfId="0" applyNumberFormat="1" applyFont="1" applyBorder="1"/>
    <xf numFmtId="166" fontId="5" fillId="3" borderId="23" xfId="0" applyNumberFormat="1" applyFont="1" applyFill="1" applyBorder="1" applyAlignment="1"/>
    <xf numFmtId="0" fontId="5" fillId="3" borderId="23" xfId="0" applyFont="1" applyFill="1" applyBorder="1" applyAlignment="1"/>
    <xf numFmtId="0" fontId="3" fillId="3" borderId="15" xfId="0" applyFont="1" applyFill="1" applyBorder="1" applyAlignment="1">
      <alignment horizontal="right"/>
    </xf>
    <xf numFmtId="14" fontId="3" fillId="0" borderId="15" xfId="0" applyNumberFormat="1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8" fontId="3" fillId="0" borderId="15" xfId="0" applyNumberFormat="1" applyFont="1" applyBorder="1"/>
    <xf numFmtId="166" fontId="3" fillId="0" borderId="15" xfId="0" applyNumberFormat="1" applyFont="1" applyBorder="1"/>
    <xf numFmtId="0" fontId="3" fillId="0" borderId="6" xfId="0" applyFont="1" applyBorder="1" applyAlignment="1">
      <alignment horizontal="center" vertical="center"/>
    </xf>
    <xf numFmtId="166" fontId="3" fillId="3" borderId="15" xfId="0" applyNumberFormat="1" applyFont="1" applyFill="1" applyBorder="1"/>
    <xf numFmtId="0" fontId="3" fillId="3" borderId="15" xfId="0" applyFont="1" applyFill="1" applyBorder="1"/>
    <xf numFmtId="14" fontId="3" fillId="0" borderId="4" xfId="0" applyNumberFormat="1" applyFont="1" applyBorder="1" applyAlignment="1">
      <alignment horizontal="center" vertical="center"/>
    </xf>
    <xf numFmtId="0" fontId="4" fillId="0" borderId="15" xfId="0" applyFont="1" applyBorder="1"/>
    <xf numFmtId="14" fontId="3" fillId="0" borderId="3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right"/>
    </xf>
    <xf numFmtId="0" fontId="3" fillId="0" borderId="5" xfId="0" applyFont="1" applyBorder="1" applyAlignment="1">
      <alignment vertical="center"/>
    </xf>
    <xf numFmtId="8" fontId="3" fillId="0" borderId="7" xfId="0" applyNumberFormat="1" applyFont="1" applyBorder="1"/>
    <xf numFmtId="0" fontId="3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4" fillId="0" borderId="7" xfId="0" applyFont="1" applyBorder="1"/>
    <xf numFmtId="14" fontId="3" fillId="0" borderId="17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 vertical="top"/>
    </xf>
    <xf numFmtId="0" fontId="6" fillId="0" borderId="24" xfId="0" applyFont="1" applyBorder="1" applyAlignment="1">
      <alignment horizontal="center" vertical="center"/>
    </xf>
    <xf numFmtId="0" fontId="0" fillId="0" borderId="0" xfId="0" applyFont="1" applyAlignment="1">
      <alignment horizontal="right" vertical="top"/>
    </xf>
    <xf numFmtId="0" fontId="0" fillId="0" borderId="0" xfId="0" applyFont="1"/>
    <xf numFmtId="0" fontId="3" fillId="0" borderId="8" xfId="0" applyFont="1" applyBorder="1" applyAlignment="1">
      <alignment horizontal="center" vertical="center" wrapText="1"/>
    </xf>
    <xf numFmtId="164" fontId="8" fillId="0" borderId="0" xfId="0" applyNumberFormat="1" applyFont="1"/>
    <xf numFmtId="14" fontId="0" fillId="3" borderId="0" xfId="0" applyNumberFormat="1" applyFont="1" applyFill="1" applyAlignment="1">
      <alignment horizontal="right" vertical="top"/>
    </xf>
    <xf numFmtId="0" fontId="6" fillId="0" borderId="20" xfId="0" applyFont="1" applyBorder="1" applyAlignment="1">
      <alignment horizontal="center" vertical="center"/>
    </xf>
    <xf numFmtId="0" fontId="0" fillId="3" borderId="0" xfId="0" applyFont="1" applyFill="1" applyAlignment="1">
      <alignment horizontal="right" vertical="top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14" fontId="5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14" fontId="3" fillId="0" borderId="22" xfId="0" applyNumberFormat="1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66" fontId="5" fillId="0" borderId="23" xfId="0" applyNumberFormat="1" applyFont="1" applyBorder="1" applyAlignment="1">
      <alignment vertical="center"/>
    </xf>
    <xf numFmtId="14" fontId="3" fillId="0" borderId="9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vertical="center"/>
    </xf>
    <xf numFmtId="0" fontId="3" fillId="0" borderId="30" xfId="0" applyFont="1" applyBorder="1" applyAlignment="1">
      <alignment horizontal="center" vertical="center" wrapText="1"/>
    </xf>
    <xf numFmtId="14" fontId="3" fillId="0" borderId="31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14" fontId="3" fillId="0" borderId="33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164" fontId="3" fillId="0" borderId="15" xfId="0" applyNumberFormat="1" applyFont="1" applyBorder="1" applyAlignment="1">
      <alignment vertical="center"/>
    </xf>
    <xf numFmtId="0" fontId="6" fillId="0" borderId="3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4" fontId="3" fillId="0" borderId="29" xfId="0" applyNumberFormat="1" applyFont="1" applyBorder="1" applyAlignment="1">
      <alignment vertical="center"/>
    </xf>
    <xf numFmtId="164" fontId="3" fillId="0" borderId="15" xfId="0" applyNumberFormat="1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164" fontId="3" fillId="0" borderId="29" xfId="0" applyNumberFormat="1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66" fontId="3" fillId="0" borderId="15" xfId="0" applyNumberFormat="1" applyFont="1" applyBorder="1" applyAlignment="1">
      <alignment vertical="center"/>
    </xf>
    <xf numFmtId="9" fontId="3" fillId="0" borderId="15" xfId="0" applyNumberFormat="1" applyFont="1" applyBorder="1" applyAlignment="1">
      <alignment vertical="center"/>
    </xf>
    <xf numFmtId="166" fontId="3" fillId="0" borderId="29" xfId="0" applyNumberFormat="1" applyFont="1" applyBorder="1" applyAlignment="1">
      <alignment vertical="center"/>
    </xf>
    <xf numFmtId="9" fontId="3" fillId="0" borderId="29" xfId="0" applyNumberFormat="1" applyFont="1" applyBorder="1" applyAlignment="1">
      <alignment vertical="center"/>
    </xf>
    <xf numFmtId="166" fontId="3" fillId="0" borderId="23" xfId="0" applyNumberFormat="1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166" fontId="3" fillId="0" borderId="10" xfId="0" applyNumberFormat="1" applyFont="1" applyBorder="1" applyAlignment="1">
      <alignment vertical="center"/>
    </xf>
    <xf numFmtId="9" fontId="3" fillId="0" borderId="10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166" fontId="3" fillId="0" borderId="7" xfId="0" applyNumberFormat="1" applyFont="1" applyBorder="1" applyAlignment="1">
      <alignment vertical="center"/>
    </xf>
    <xf numFmtId="9" fontId="3" fillId="0" borderId="7" xfId="0" applyNumberFormat="1" applyFont="1" applyBorder="1" applyAlignment="1">
      <alignment vertical="center"/>
    </xf>
    <xf numFmtId="14" fontId="3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166" fontId="3" fillId="0" borderId="6" xfId="0" applyNumberFormat="1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64" fontId="4" fillId="0" borderId="10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vertical="center"/>
    </xf>
    <xf numFmtId="9" fontId="4" fillId="0" borderId="10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9" fontId="3" fillId="0" borderId="0" xfId="0" applyNumberFormat="1" applyFont="1" applyAlignment="1">
      <alignment vertical="center"/>
    </xf>
    <xf numFmtId="14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6" fontId="1" fillId="0" borderId="7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6" fontId="4" fillId="0" borderId="7" xfId="0" applyNumberFormat="1" applyFont="1" applyBorder="1" applyAlignment="1">
      <alignment vertical="center"/>
    </xf>
    <xf numFmtId="9" fontId="4" fillId="0" borderId="7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164" fontId="3" fillId="3" borderId="7" xfId="0" applyNumberFormat="1" applyFont="1" applyFill="1" applyBorder="1"/>
    <xf numFmtId="14" fontId="4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164" fontId="4" fillId="0" borderId="18" xfId="0" applyNumberFormat="1" applyFont="1" applyBorder="1" applyAlignment="1">
      <alignment vertical="center"/>
    </xf>
    <xf numFmtId="0" fontId="3" fillId="0" borderId="7" xfId="0" applyFont="1" applyBorder="1" applyAlignment="1"/>
    <xf numFmtId="166" fontId="4" fillId="0" borderId="18" xfId="0" applyNumberFormat="1" applyFont="1" applyBorder="1" applyAlignment="1">
      <alignment vertical="center"/>
    </xf>
    <xf numFmtId="0" fontId="6" fillId="0" borderId="7" xfId="0" applyFont="1" applyBorder="1" applyAlignment="1">
      <alignment horizontal="center"/>
    </xf>
    <xf numFmtId="9" fontId="4" fillId="0" borderId="18" xfId="0" applyNumberFormat="1" applyFont="1" applyBorder="1" applyAlignment="1">
      <alignment vertical="center"/>
    </xf>
    <xf numFmtId="166" fontId="3" fillId="0" borderId="7" xfId="0" applyNumberFormat="1" applyFont="1" applyBorder="1"/>
    <xf numFmtId="166" fontId="3" fillId="0" borderId="7" xfId="0" applyNumberFormat="1" applyFont="1" applyBorder="1" applyAlignment="1"/>
    <xf numFmtId="164" fontId="3" fillId="0" borderId="7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0" fontId="3" fillId="0" borderId="0" xfId="0" applyFont="1"/>
    <xf numFmtId="164" fontId="3" fillId="0" borderId="18" xfId="0" applyNumberFormat="1" applyFont="1" applyBorder="1" applyAlignment="1">
      <alignment vertical="center"/>
    </xf>
    <xf numFmtId="0" fontId="3" fillId="3" borderId="0" xfId="0" applyFont="1" applyFill="1" applyAlignment="1"/>
    <xf numFmtId="164" fontId="3" fillId="0" borderId="18" xfId="0" applyNumberFormat="1" applyFont="1" applyBorder="1" applyAlignment="1">
      <alignment vertical="center"/>
    </xf>
    <xf numFmtId="164" fontId="3" fillId="0" borderId="23" xfId="0" applyNumberFormat="1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3" borderId="7" xfId="0" applyFont="1" applyFill="1" applyBorder="1" applyAlignment="1"/>
    <xf numFmtId="0" fontId="3" fillId="0" borderId="7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2" borderId="3" xfId="0" applyFont="1" applyFill="1" applyBorder="1" applyAlignment="1">
      <alignment horizont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0" xfId="0" applyNumberFormat="1" applyFont="1" applyBorder="1"/>
    <xf numFmtId="0" fontId="3" fillId="0" borderId="7" xfId="0" applyNumberFormat="1" applyFont="1" applyBorder="1"/>
    <xf numFmtId="0" fontId="3" fillId="0" borderId="18" xfId="0" applyNumberFormat="1" applyFont="1" applyBorder="1"/>
    <xf numFmtId="0" fontId="4" fillId="0" borderId="18" xfId="0" applyNumberFormat="1" applyFont="1" applyBorder="1"/>
    <xf numFmtId="0" fontId="3" fillId="0" borderId="23" xfId="0" applyNumberFormat="1" applyFont="1" applyBorder="1"/>
    <xf numFmtId="0" fontId="5" fillId="0" borderId="23" xfId="0" applyNumberFormat="1" applyFont="1" applyBorder="1"/>
    <xf numFmtId="0" fontId="3" fillId="0" borderId="23" xfId="0" applyNumberFormat="1" applyFont="1" applyBorder="1" applyAlignment="1">
      <alignment horizontal="right"/>
    </xf>
    <xf numFmtId="0" fontId="5" fillId="0" borderId="18" xfId="0" applyNumberFormat="1" applyFont="1" applyBorder="1"/>
    <xf numFmtId="0" fontId="5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pane ySplit="2" topLeftCell="A3" activePane="bottomLeft" state="frozen"/>
      <selection pane="bottomLeft" activeCell="B4" sqref="B4"/>
    </sheetView>
  </sheetViews>
  <sheetFormatPr defaultColWidth="15.140625" defaultRowHeight="15" customHeight="1"/>
  <cols>
    <col min="1" max="1" width="9.7109375" customWidth="1"/>
    <col min="2" max="2" width="7.5703125" customWidth="1"/>
    <col min="3" max="3" width="7.85546875" customWidth="1"/>
    <col min="4" max="4" width="37.85546875" customWidth="1"/>
    <col min="5" max="5" width="10.5703125" customWidth="1"/>
    <col min="6" max="6" width="38.85546875" customWidth="1"/>
  </cols>
  <sheetData>
    <row r="1" spans="1:6">
      <c r="A1" s="649" t="s">
        <v>0</v>
      </c>
      <c r="B1" s="650"/>
      <c r="C1" s="650"/>
      <c r="D1" s="650"/>
      <c r="E1" s="650"/>
      <c r="F1" s="650"/>
    </row>
    <row r="2" spans="1:6">
      <c r="A2" s="2" t="s">
        <v>5</v>
      </c>
      <c r="B2" s="4" t="s">
        <v>7</v>
      </c>
      <c r="C2" s="2" t="s">
        <v>18</v>
      </c>
      <c r="D2" s="2" t="s">
        <v>19</v>
      </c>
      <c r="E2" s="2" t="s">
        <v>20</v>
      </c>
      <c r="F2" s="2" t="s">
        <v>21</v>
      </c>
    </row>
    <row r="3" spans="1:6">
      <c r="A3" s="6">
        <v>95082003</v>
      </c>
      <c r="B3" s="7"/>
      <c r="C3" s="7" t="s">
        <v>23</v>
      </c>
      <c r="D3" s="10" t="s">
        <v>24</v>
      </c>
      <c r="E3" s="12">
        <v>176342.22</v>
      </c>
      <c r="F3" s="14" t="s">
        <v>26</v>
      </c>
    </row>
    <row r="4" spans="1:6">
      <c r="A4" s="6">
        <v>95102003</v>
      </c>
      <c r="B4" s="7"/>
      <c r="C4" s="7" t="s">
        <v>27</v>
      </c>
      <c r="D4" s="10" t="s">
        <v>28</v>
      </c>
      <c r="E4" s="12">
        <v>18349.13</v>
      </c>
      <c r="F4" s="10" t="s">
        <v>30</v>
      </c>
    </row>
    <row r="5" spans="1:6">
      <c r="A5" s="6">
        <v>115432002</v>
      </c>
      <c r="B5" s="16">
        <v>114342008</v>
      </c>
      <c r="C5" s="7" t="s">
        <v>27</v>
      </c>
      <c r="D5" s="10" t="s">
        <v>33</v>
      </c>
      <c r="E5" s="12">
        <v>90000</v>
      </c>
      <c r="F5" s="14" t="s">
        <v>26</v>
      </c>
    </row>
    <row r="6" spans="1:6">
      <c r="A6" s="6">
        <v>195852008</v>
      </c>
      <c r="B6" s="16">
        <v>422772013</v>
      </c>
      <c r="C6" s="7" t="s">
        <v>23</v>
      </c>
      <c r="D6" s="10" t="s">
        <v>34</v>
      </c>
      <c r="E6" s="12">
        <v>805220.74</v>
      </c>
      <c r="F6" s="14" t="s">
        <v>26</v>
      </c>
    </row>
    <row r="7" spans="1:6">
      <c r="A7" s="18">
        <v>93982008</v>
      </c>
      <c r="B7" s="16">
        <v>348662012</v>
      </c>
      <c r="C7" s="7" t="s">
        <v>23</v>
      </c>
      <c r="D7" s="10" t="s">
        <v>36</v>
      </c>
      <c r="E7" s="12">
        <v>443592.74</v>
      </c>
      <c r="F7" s="14" t="s">
        <v>26</v>
      </c>
    </row>
    <row r="8" spans="1:6">
      <c r="A8" s="6">
        <v>155262007</v>
      </c>
      <c r="B8" s="16">
        <v>55312013</v>
      </c>
      <c r="C8" s="7" t="s">
        <v>23</v>
      </c>
      <c r="D8" s="10" t="s">
        <v>37</v>
      </c>
      <c r="E8" s="12">
        <v>73143.460000000006</v>
      </c>
      <c r="F8" s="10" t="s">
        <v>38</v>
      </c>
    </row>
    <row r="9" spans="1:6">
      <c r="A9" s="6">
        <v>245802008</v>
      </c>
      <c r="B9" s="7"/>
      <c r="C9" s="7" t="s">
        <v>23</v>
      </c>
      <c r="D9" s="10" t="s">
        <v>39</v>
      </c>
      <c r="E9" s="12">
        <v>232187.7</v>
      </c>
      <c r="F9" s="14" t="s">
        <v>26</v>
      </c>
    </row>
    <row r="10" spans="1:6">
      <c r="A10" s="6">
        <v>346352008</v>
      </c>
      <c r="B10" s="7"/>
      <c r="C10" s="7" t="s">
        <v>23</v>
      </c>
      <c r="D10" s="10" t="s">
        <v>40</v>
      </c>
      <c r="E10" s="12"/>
      <c r="F10" s="14" t="s">
        <v>26</v>
      </c>
    </row>
    <row r="11" spans="1:6">
      <c r="A11" s="6">
        <v>47942005</v>
      </c>
      <c r="B11" s="7"/>
      <c r="C11" s="7" t="s">
        <v>23</v>
      </c>
      <c r="D11" s="10" t="s">
        <v>41</v>
      </c>
      <c r="E11" s="12">
        <v>56903.39</v>
      </c>
      <c r="F11" s="14" t="s">
        <v>42</v>
      </c>
    </row>
    <row r="12" spans="1:6">
      <c r="A12" s="6">
        <v>144782004</v>
      </c>
      <c r="B12" s="7"/>
      <c r="C12" s="7" t="s">
        <v>43</v>
      </c>
      <c r="D12" s="10" t="s">
        <v>44</v>
      </c>
      <c r="E12" s="12">
        <v>269757.58</v>
      </c>
      <c r="F12" s="14" t="s">
        <v>26</v>
      </c>
    </row>
    <row r="13" spans="1:6">
      <c r="A13" s="6">
        <v>124452013</v>
      </c>
      <c r="B13" s="16">
        <v>323442013</v>
      </c>
      <c r="C13" s="7" t="s">
        <v>27</v>
      </c>
      <c r="D13" s="10" t="s">
        <v>45</v>
      </c>
      <c r="E13" s="12">
        <v>1448345.5</v>
      </c>
      <c r="F13" s="14" t="s">
        <v>26</v>
      </c>
    </row>
    <row r="14" spans="1:6">
      <c r="A14" s="6">
        <v>188332002</v>
      </c>
      <c r="B14" s="7"/>
      <c r="C14" s="7" t="s">
        <v>46</v>
      </c>
      <c r="D14" s="10" t="s">
        <v>47</v>
      </c>
      <c r="E14" s="12">
        <v>92164.98</v>
      </c>
      <c r="F14" s="14" t="s">
        <v>48</v>
      </c>
    </row>
    <row r="15" spans="1:6">
      <c r="A15" s="6">
        <v>132122000</v>
      </c>
      <c r="B15" s="7"/>
      <c r="C15" s="7" t="s">
        <v>27</v>
      </c>
      <c r="D15" s="10" t="s">
        <v>49</v>
      </c>
      <c r="E15" s="12"/>
      <c r="F15" s="10" t="s">
        <v>50</v>
      </c>
    </row>
    <row r="16" spans="1:6">
      <c r="A16" s="6">
        <v>316012009</v>
      </c>
      <c r="B16" s="7"/>
      <c r="C16" s="7" t="s">
        <v>43</v>
      </c>
      <c r="D16" s="10" t="s">
        <v>51</v>
      </c>
      <c r="E16" s="12">
        <v>172848.26</v>
      </c>
      <c r="F16" s="10" t="s">
        <v>26</v>
      </c>
    </row>
    <row r="17" spans="1:6">
      <c r="A17" s="6">
        <v>346042013</v>
      </c>
      <c r="B17" s="7"/>
      <c r="C17" s="7" t="s">
        <v>27</v>
      </c>
      <c r="D17" s="10" t="s">
        <v>52</v>
      </c>
      <c r="E17" s="12">
        <v>1519730.07</v>
      </c>
      <c r="F17" s="10" t="s">
        <v>26</v>
      </c>
    </row>
    <row r="18" spans="1:6">
      <c r="A18" s="6">
        <v>420622014</v>
      </c>
      <c r="B18" s="7"/>
      <c r="C18" s="7" t="s">
        <v>43</v>
      </c>
      <c r="D18" s="10" t="s">
        <v>53</v>
      </c>
      <c r="E18" s="12">
        <v>3396856.58</v>
      </c>
      <c r="F18" s="14" t="s">
        <v>48</v>
      </c>
    </row>
    <row r="19" spans="1:6">
      <c r="A19" s="23">
        <v>216872008</v>
      </c>
      <c r="B19" s="7">
        <v>26592014</v>
      </c>
      <c r="C19" s="7" t="s">
        <v>23</v>
      </c>
      <c r="D19" s="10" t="s">
        <v>55</v>
      </c>
      <c r="E19" s="12">
        <v>228997.75</v>
      </c>
      <c r="F19" s="14" t="s">
        <v>26</v>
      </c>
    </row>
    <row r="20" spans="1:6">
      <c r="A20" s="6">
        <v>16352003</v>
      </c>
      <c r="B20" s="16">
        <v>72852006</v>
      </c>
      <c r="C20" s="7" t="s">
        <v>56</v>
      </c>
      <c r="D20" s="10" t="s">
        <v>57</v>
      </c>
      <c r="E20" s="12">
        <v>136765.71</v>
      </c>
      <c r="F20" s="14" t="s">
        <v>58</v>
      </c>
    </row>
    <row r="21" spans="1:6">
      <c r="A21" s="6">
        <v>302232013</v>
      </c>
      <c r="B21" s="16">
        <v>429832013</v>
      </c>
      <c r="C21" s="7" t="s">
        <v>27</v>
      </c>
      <c r="D21" s="10" t="s">
        <v>59</v>
      </c>
      <c r="E21" s="12">
        <v>1934226.45</v>
      </c>
      <c r="F21" s="14" t="s">
        <v>48</v>
      </c>
    </row>
    <row r="22" spans="1:6">
      <c r="A22" s="6">
        <v>32272003</v>
      </c>
      <c r="B22" s="16">
        <v>431402013</v>
      </c>
      <c r="C22" s="7" t="s">
        <v>27</v>
      </c>
      <c r="D22" s="10" t="s">
        <v>60</v>
      </c>
      <c r="E22" s="12">
        <v>294836.68</v>
      </c>
      <c r="F22" s="14" t="s">
        <v>26</v>
      </c>
    </row>
    <row r="23" spans="1:6">
      <c r="A23" s="23">
        <v>420672014</v>
      </c>
      <c r="B23" s="16"/>
      <c r="C23" s="16" t="s">
        <v>23</v>
      </c>
      <c r="D23" s="14" t="s">
        <v>61</v>
      </c>
      <c r="E23" s="25">
        <v>3971559.04</v>
      </c>
      <c r="F23" s="14" t="s">
        <v>26</v>
      </c>
    </row>
    <row r="24" spans="1:6">
      <c r="A24" s="23">
        <v>433272010</v>
      </c>
      <c r="B24" s="16"/>
      <c r="C24" s="16" t="s">
        <v>23</v>
      </c>
      <c r="D24" s="14" t="s">
        <v>67</v>
      </c>
      <c r="E24" s="25">
        <v>105333.1</v>
      </c>
      <c r="F24" s="14" t="s">
        <v>26</v>
      </c>
    </row>
    <row r="25" spans="1:6">
      <c r="A25" s="23">
        <v>215632010</v>
      </c>
      <c r="B25" s="16"/>
      <c r="C25" s="16" t="s">
        <v>43</v>
      </c>
      <c r="D25" s="14" t="s">
        <v>69</v>
      </c>
      <c r="E25" s="25">
        <v>92500.41</v>
      </c>
      <c r="F25" s="14" t="s">
        <v>26</v>
      </c>
    </row>
    <row r="26" spans="1:6">
      <c r="A26" s="23">
        <v>196032008</v>
      </c>
      <c r="B26" s="16">
        <v>494932013</v>
      </c>
      <c r="C26" s="16" t="s">
        <v>27</v>
      </c>
      <c r="D26" s="14" t="s">
        <v>72</v>
      </c>
      <c r="E26" s="25">
        <v>368099.9</v>
      </c>
      <c r="F26" s="14" t="s">
        <v>26</v>
      </c>
    </row>
    <row r="27" spans="1:6">
      <c r="A27" s="23">
        <v>21092005</v>
      </c>
      <c r="B27" s="16"/>
      <c r="C27" s="16" t="s">
        <v>23</v>
      </c>
      <c r="D27" s="14" t="s">
        <v>74</v>
      </c>
      <c r="E27" s="25">
        <v>189559.3</v>
      </c>
      <c r="F27" s="14" t="s">
        <v>26</v>
      </c>
    </row>
    <row r="28" spans="1:6">
      <c r="A28" s="23">
        <v>144202013</v>
      </c>
      <c r="B28" s="16">
        <v>286592013</v>
      </c>
      <c r="C28" s="16" t="s">
        <v>27</v>
      </c>
      <c r="D28" s="14" t="s">
        <v>76</v>
      </c>
      <c r="E28" s="25">
        <v>1386137.13</v>
      </c>
      <c r="F28" s="14" t="s">
        <v>26</v>
      </c>
    </row>
    <row r="29" spans="1:6">
      <c r="A29" s="23">
        <v>115432002</v>
      </c>
      <c r="B29" s="16">
        <v>114342008</v>
      </c>
      <c r="C29" s="16" t="s">
        <v>27</v>
      </c>
      <c r="D29" s="14" t="s">
        <v>77</v>
      </c>
      <c r="E29" s="12"/>
      <c r="F29" s="14" t="s">
        <v>26</v>
      </c>
    </row>
    <row r="30" spans="1:6">
      <c r="A30" s="23">
        <v>184042002</v>
      </c>
      <c r="B30" s="16">
        <v>367782002</v>
      </c>
      <c r="C30" s="16" t="s">
        <v>56</v>
      </c>
      <c r="D30" s="14" t="s">
        <v>80</v>
      </c>
      <c r="E30" s="25">
        <v>84174.73</v>
      </c>
      <c r="F30" s="14" t="s">
        <v>48</v>
      </c>
    </row>
    <row r="31" spans="1:6">
      <c r="A31" s="23">
        <v>242262015</v>
      </c>
      <c r="B31" s="7"/>
      <c r="C31" s="16" t="s">
        <v>56</v>
      </c>
      <c r="D31" s="14" t="s">
        <v>83</v>
      </c>
      <c r="E31" s="25">
        <v>2354060.0099999998</v>
      </c>
      <c r="F31" s="14" t="s">
        <v>38</v>
      </c>
    </row>
    <row r="32" spans="1:6">
      <c r="A32" s="23">
        <v>138642002</v>
      </c>
      <c r="B32" s="16" t="s">
        <v>85</v>
      </c>
      <c r="C32" s="16" t="s">
        <v>27</v>
      </c>
      <c r="D32" s="14" t="s">
        <v>86</v>
      </c>
      <c r="E32" s="12"/>
      <c r="F32" s="14" t="s">
        <v>87</v>
      </c>
    </row>
    <row r="33" spans="1:6">
      <c r="A33" s="23">
        <v>246692015</v>
      </c>
      <c r="B33" s="7"/>
      <c r="C33" s="16" t="s">
        <v>27</v>
      </c>
      <c r="D33" s="14" t="s">
        <v>89</v>
      </c>
      <c r="E33" s="12"/>
      <c r="F33" s="14" t="s">
        <v>90</v>
      </c>
    </row>
    <row r="34" spans="1:6">
      <c r="A34" s="23">
        <v>378242009</v>
      </c>
      <c r="B34" s="7"/>
      <c r="C34" s="16" t="s">
        <v>27</v>
      </c>
      <c r="D34" s="14" t="s">
        <v>92</v>
      </c>
      <c r="E34" s="25">
        <v>284449.65000000002</v>
      </c>
      <c r="F34" s="14" t="s">
        <v>87</v>
      </c>
    </row>
    <row r="35" spans="1:6">
      <c r="A35" s="23">
        <v>51672015</v>
      </c>
      <c r="B35" s="7"/>
      <c r="C35" s="16" t="s">
        <v>27</v>
      </c>
      <c r="D35" s="14" t="s">
        <v>94</v>
      </c>
      <c r="E35" s="12"/>
      <c r="F35" s="14" t="s">
        <v>87</v>
      </c>
    </row>
    <row r="36" spans="1:6">
      <c r="A36" s="23">
        <v>482572013</v>
      </c>
      <c r="B36" s="7"/>
      <c r="C36" s="16" t="s">
        <v>27</v>
      </c>
      <c r="D36" s="14" t="s">
        <v>96</v>
      </c>
      <c r="E36" s="12"/>
      <c r="F36" s="14" t="s">
        <v>87</v>
      </c>
    </row>
    <row r="37" spans="1:6">
      <c r="A37" s="23">
        <v>153892015</v>
      </c>
      <c r="B37" s="7"/>
      <c r="C37" s="16" t="s">
        <v>27</v>
      </c>
      <c r="D37" s="14" t="s">
        <v>98</v>
      </c>
      <c r="E37" s="12"/>
      <c r="F37" s="14" t="s">
        <v>87</v>
      </c>
    </row>
    <row r="38" spans="1:6">
      <c r="A38" s="23">
        <v>591552013</v>
      </c>
      <c r="B38" s="7"/>
      <c r="C38" s="16" t="s">
        <v>27</v>
      </c>
      <c r="D38" s="14" t="s">
        <v>100</v>
      </c>
      <c r="E38" s="12"/>
      <c r="F38" s="14" t="s">
        <v>87</v>
      </c>
    </row>
    <row r="39" spans="1:6">
      <c r="A39" s="23">
        <v>320032014</v>
      </c>
      <c r="B39" s="7"/>
      <c r="C39" s="16" t="s">
        <v>27</v>
      </c>
      <c r="D39" s="14" t="s">
        <v>101</v>
      </c>
      <c r="E39" s="12"/>
      <c r="F39" s="14" t="s">
        <v>87</v>
      </c>
    </row>
    <row r="40" spans="1:6">
      <c r="A40" s="23">
        <v>246692015</v>
      </c>
      <c r="B40" s="7"/>
      <c r="C40" s="16" t="s">
        <v>27</v>
      </c>
      <c r="D40" s="14" t="s">
        <v>102</v>
      </c>
      <c r="E40" s="12"/>
      <c r="F40" s="14" t="s">
        <v>87</v>
      </c>
    </row>
    <row r="41" spans="1:6">
      <c r="A41" s="23">
        <v>101822015</v>
      </c>
      <c r="B41" s="7"/>
      <c r="C41" s="16" t="s">
        <v>27</v>
      </c>
      <c r="D41" s="14" t="s">
        <v>103</v>
      </c>
      <c r="E41" s="12"/>
      <c r="F41" s="14" t="s">
        <v>87</v>
      </c>
    </row>
    <row r="42" spans="1:6">
      <c r="A42" s="23">
        <v>345012014</v>
      </c>
      <c r="B42" s="7"/>
      <c r="C42" s="16" t="s">
        <v>27</v>
      </c>
      <c r="D42" s="14" t="s">
        <v>104</v>
      </c>
      <c r="E42" s="12"/>
      <c r="F42" s="14" t="s">
        <v>87</v>
      </c>
    </row>
    <row r="43" spans="1:6">
      <c r="A43" s="23">
        <v>258192015</v>
      </c>
      <c r="B43" s="7"/>
      <c r="C43" s="16" t="s">
        <v>27</v>
      </c>
      <c r="D43" s="14" t="s">
        <v>105</v>
      </c>
      <c r="E43" s="12"/>
      <c r="F43" s="14" t="s">
        <v>87</v>
      </c>
    </row>
    <row r="44" spans="1:6">
      <c r="A44" s="23">
        <v>537332013</v>
      </c>
      <c r="B44" s="7"/>
      <c r="C44" s="16" t="s">
        <v>27</v>
      </c>
      <c r="D44" s="14" t="s">
        <v>106</v>
      </c>
      <c r="E44" s="12"/>
      <c r="F44" s="14" t="s">
        <v>87</v>
      </c>
    </row>
    <row r="45" spans="1:6">
      <c r="A45" s="23">
        <v>420662014</v>
      </c>
      <c r="B45" s="7"/>
      <c r="C45" s="16" t="s">
        <v>27</v>
      </c>
      <c r="D45" s="14" t="s">
        <v>107</v>
      </c>
      <c r="E45" s="12"/>
      <c r="F45" s="14" t="s">
        <v>87</v>
      </c>
    </row>
    <row r="46" spans="1:6">
      <c r="A46" s="23">
        <v>316142015</v>
      </c>
      <c r="B46" s="7"/>
      <c r="C46" s="16" t="s">
        <v>27</v>
      </c>
      <c r="D46" s="14" t="s">
        <v>108</v>
      </c>
      <c r="E46" s="12"/>
      <c r="F46" s="14" t="s">
        <v>87</v>
      </c>
    </row>
    <row r="47" spans="1:6">
      <c r="A47" s="23">
        <v>98352015</v>
      </c>
      <c r="B47" s="7"/>
      <c r="C47" s="16" t="s">
        <v>27</v>
      </c>
      <c r="D47" s="14" t="s">
        <v>109</v>
      </c>
      <c r="E47" s="12"/>
      <c r="F47" s="14" t="s">
        <v>87</v>
      </c>
    </row>
    <row r="48" spans="1:6">
      <c r="A48" s="23">
        <v>3262004</v>
      </c>
      <c r="B48" s="7"/>
      <c r="C48" s="16" t="s">
        <v>110</v>
      </c>
      <c r="D48" s="14" t="s">
        <v>111</v>
      </c>
      <c r="E48" s="25">
        <v>310926.87</v>
      </c>
      <c r="F48" s="14" t="s">
        <v>112</v>
      </c>
    </row>
    <row r="49" spans="1:6">
      <c r="A49" s="23">
        <v>27652005</v>
      </c>
      <c r="B49" s="7"/>
      <c r="C49" s="16" t="s">
        <v>43</v>
      </c>
      <c r="D49" s="14" t="s">
        <v>113</v>
      </c>
      <c r="E49" s="25">
        <v>311277.65000000002</v>
      </c>
      <c r="F49" s="14" t="s">
        <v>114</v>
      </c>
    </row>
    <row r="50" spans="1:6">
      <c r="A50" s="23">
        <v>577982013</v>
      </c>
      <c r="B50" s="7"/>
      <c r="C50" s="16" t="s">
        <v>43</v>
      </c>
      <c r="D50" s="14" t="s">
        <v>115</v>
      </c>
      <c r="E50" s="25">
        <v>2977240.28</v>
      </c>
      <c r="F50" s="14" t="s">
        <v>116</v>
      </c>
    </row>
    <row r="51" spans="1:6">
      <c r="A51" s="23">
        <v>189492015</v>
      </c>
      <c r="B51" s="7"/>
      <c r="C51" s="16" t="s">
        <v>27</v>
      </c>
      <c r="D51" s="14" t="s">
        <v>117</v>
      </c>
      <c r="E51" s="25">
        <v>943670.83</v>
      </c>
      <c r="F51" s="14" t="s">
        <v>87</v>
      </c>
    </row>
    <row r="52" spans="1:6">
      <c r="A52" s="23">
        <v>6262005</v>
      </c>
      <c r="B52" s="7"/>
      <c r="C52" s="16" t="s">
        <v>46</v>
      </c>
      <c r="D52" s="14" t="s">
        <v>118</v>
      </c>
      <c r="E52" s="25">
        <v>27957.11</v>
      </c>
      <c r="F52" s="14" t="s">
        <v>87</v>
      </c>
    </row>
    <row r="53" spans="1:6">
      <c r="A53" s="6"/>
      <c r="B53" s="7"/>
      <c r="C53" s="7"/>
      <c r="D53" s="10"/>
      <c r="E53" s="12"/>
      <c r="F53" s="10"/>
    </row>
    <row r="54" spans="1:6">
      <c r="A54" s="6"/>
      <c r="B54" s="7"/>
      <c r="C54" s="7"/>
      <c r="D54" s="10"/>
      <c r="E54" s="12"/>
      <c r="F54" s="10"/>
    </row>
    <row r="55" spans="1:6">
      <c r="A55" s="6"/>
      <c r="B55" s="7"/>
      <c r="C55" s="7"/>
      <c r="D55" s="10"/>
      <c r="E55" s="12"/>
      <c r="F55" s="10"/>
    </row>
    <row r="56" spans="1:6">
      <c r="A56" s="6"/>
      <c r="B56" s="7"/>
      <c r="C56" s="7"/>
      <c r="D56" s="10"/>
      <c r="E56" s="12"/>
      <c r="F56" s="10"/>
    </row>
    <row r="57" spans="1:6">
      <c r="A57" s="6"/>
      <c r="B57" s="7"/>
      <c r="C57" s="7"/>
      <c r="D57" s="10"/>
      <c r="E57" s="12"/>
      <c r="F57" s="10"/>
    </row>
  </sheetData>
  <autoFilter ref="A2:F52"/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2" topLeftCell="A3" activePane="bottomLeft" state="frozen"/>
      <selection pane="bottomLeft" activeCell="B4" sqref="B4"/>
    </sheetView>
  </sheetViews>
  <sheetFormatPr defaultColWidth="15.140625" defaultRowHeight="15" customHeight="1"/>
  <cols>
    <col min="1" max="1" width="12.85546875" customWidth="1"/>
    <col min="2" max="2" width="8.85546875" customWidth="1"/>
    <col min="3" max="3" width="9.85546875" customWidth="1"/>
    <col min="4" max="4" width="42.85546875" customWidth="1"/>
    <col min="5" max="5" width="10.7109375" customWidth="1"/>
    <col min="6" max="6" width="10" customWidth="1"/>
    <col min="7" max="7" width="9.5703125" customWidth="1"/>
    <col min="8" max="8" width="58.85546875" customWidth="1"/>
    <col min="9" max="9" width="4.42578125" customWidth="1"/>
  </cols>
  <sheetData>
    <row r="1" spans="1:9">
      <c r="A1" s="654" t="s">
        <v>1</v>
      </c>
      <c r="B1" s="652"/>
      <c r="C1" s="652"/>
      <c r="D1" s="652"/>
      <c r="E1" s="652"/>
      <c r="F1" s="652"/>
      <c r="G1" s="652"/>
      <c r="H1" s="652"/>
      <c r="I1" s="653"/>
    </row>
    <row r="2" spans="1:9">
      <c r="A2" s="2" t="s">
        <v>4</v>
      </c>
      <c r="B2" s="2" t="s">
        <v>3</v>
      </c>
      <c r="C2" s="2" t="s">
        <v>9</v>
      </c>
      <c r="D2" s="2" t="s">
        <v>10</v>
      </c>
      <c r="E2" s="2" t="s">
        <v>11</v>
      </c>
      <c r="F2" s="4" t="s">
        <v>12</v>
      </c>
      <c r="G2" s="4" t="s">
        <v>14</v>
      </c>
      <c r="H2" s="2" t="s">
        <v>16</v>
      </c>
      <c r="I2" s="4" t="s">
        <v>17</v>
      </c>
    </row>
    <row r="3" spans="1:9">
      <c r="A3" s="10">
        <v>7</v>
      </c>
      <c r="B3" s="7">
        <v>144732004</v>
      </c>
      <c r="C3" s="6">
        <v>214562010</v>
      </c>
      <c r="D3" s="10" t="s">
        <v>29</v>
      </c>
      <c r="E3" s="12">
        <v>342063.69</v>
      </c>
      <c r="F3" s="15"/>
      <c r="G3" s="15"/>
      <c r="H3" s="10" t="s">
        <v>31</v>
      </c>
      <c r="I3" s="10"/>
    </row>
    <row r="4" spans="1:9">
      <c r="A4" s="10">
        <v>8</v>
      </c>
      <c r="B4" s="7">
        <v>292003</v>
      </c>
      <c r="C4" s="6">
        <v>214622010</v>
      </c>
      <c r="D4" s="10" t="s">
        <v>32</v>
      </c>
      <c r="E4" s="12">
        <v>16311.45</v>
      </c>
      <c r="F4" s="15"/>
      <c r="G4" s="15"/>
      <c r="H4" s="10" t="s">
        <v>31</v>
      </c>
      <c r="I4" s="10"/>
    </row>
    <row r="5" spans="1:9">
      <c r="A5" s="10">
        <v>24</v>
      </c>
      <c r="B5" s="7">
        <v>342003</v>
      </c>
      <c r="C5" s="17">
        <v>171702010</v>
      </c>
      <c r="D5" s="21" t="s">
        <v>35</v>
      </c>
      <c r="E5" s="22">
        <v>15285.21</v>
      </c>
      <c r="F5" s="15"/>
      <c r="G5" s="15"/>
      <c r="H5" s="10" t="s">
        <v>31</v>
      </c>
      <c r="I5" s="10"/>
    </row>
    <row r="6" spans="1:9">
      <c r="A6" s="10">
        <v>36</v>
      </c>
      <c r="B6" s="7">
        <v>136052002</v>
      </c>
      <c r="C6" s="6">
        <v>386342010</v>
      </c>
      <c r="D6" s="10" t="s">
        <v>54</v>
      </c>
      <c r="E6" s="24">
        <v>36934.379999999997</v>
      </c>
      <c r="F6" s="15"/>
      <c r="G6" s="15"/>
      <c r="H6" s="10" t="s">
        <v>31</v>
      </c>
      <c r="I6" s="10"/>
    </row>
    <row r="7" spans="1:9">
      <c r="A7" s="10">
        <v>38</v>
      </c>
      <c r="B7" s="7">
        <v>219762003</v>
      </c>
      <c r="C7" s="6">
        <v>2232011</v>
      </c>
      <c r="D7" s="10" t="s">
        <v>62</v>
      </c>
      <c r="E7" s="24">
        <v>11115.79</v>
      </c>
      <c r="F7" s="15"/>
      <c r="G7" s="15"/>
      <c r="H7" s="10" t="s">
        <v>31</v>
      </c>
      <c r="I7" s="10"/>
    </row>
    <row r="8" spans="1:9">
      <c r="A8" s="10">
        <v>44</v>
      </c>
      <c r="B8" s="7">
        <v>2492002</v>
      </c>
      <c r="C8" s="6">
        <v>82362011</v>
      </c>
      <c r="D8" s="10" t="s">
        <v>63</v>
      </c>
      <c r="E8" s="24">
        <v>28760.07</v>
      </c>
      <c r="F8" s="15"/>
      <c r="G8" s="15"/>
      <c r="H8" s="10" t="s">
        <v>31</v>
      </c>
      <c r="I8" s="10"/>
    </row>
    <row r="9" spans="1:9">
      <c r="A9" s="10">
        <v>45</v>
      </c>
      <c r="B9" s="7">
        <v>2492002</v>
      </c>
      <c r="C9" s="6">
        <v>82372011</v>
      </c>
      <c r="D9" s="10" t="s">
        <v>64</v>
      </c>
      <c r="E9" s="24">
        <v>59643.99</v>
      </c>
      <c r="F9" s="15"/>
      <c r="G9" s="15"/>
      <c r="H9" s="10" t="s">
        <v>31</v>
      </c>
      <c r="I9" s="10"/>
    </row>
    <row r="10" spans="1:9">
      <c r="A10" s="10">
        <v>46</v>
      </c>
      <c r="B10" s="7">
        <v>2492002</v>
      </c>
      <c r="C10" s="6">
        <v>82382011</v>
      </c>
      <c r="D10" s="10" t="s">
        <v>65</v>
      </c>
      <c r="E10" s="24">
        <v>37163.620000000003</v>
      </c>
      <c r="F10" s="15"/>
      <c r="G10" s="15"/>
      <c r="H10" s="10" t="s">
        <v>31</v>
      </c>
      <c r="I10" s="10"/>
    </row>
    <row r="11" spans="1:9">
      <c r="A11" s="10">
        <v>61</v>
      </c>
      <c r="B11" s="7">
        <v>176952002</v>
      </c>
      <c r="C11" s="6">
        <v>89212011</v>
      </c>
      <c r="D11" s="10" t="s">
        <v>66</v>
      </c>
      <c r="E11" s="24">
        <v>21462.29</v>
      </c>
      <c r="F11" s="15"/>
      <c r="G11" s="15"/>
      <c r="H11" s="10" t="s">
        <v>31</v>
      </c>
      <c r="I11" s="10"/>
    </row>
    <row r="12" spans="1:9">
      <c r="A12" s="10">
        <v>72</v>
      </c>
      <c r="B12" s="7">
        <v>136342002</v>
      </c>
      <c r="C12" s="6">
        <v>95382011</v>
      </c>
      <c r="D12" s="10" t="s">
        <v>68</v>
      </c>
      <c r="E12" s="24">
        <v>56368.23</v>
      </c>
      <c r="F12" s="15"/>
      <c r="G12" s="15"/>
      <c r="H12" s="10" t="s">
        <v>31</v>
      </c>
      <c r="I12" s="10"/>
    </row>
    <row r="13" spans="1:9">
      <c r="A13" s="10">
        <v>73</v>
      </c>
      <c r="B13" s="7">
        <v>35362006</v>
      </c>
      <c r="C13" s="6">
        <v>95802011</v>
      </c>
      <c r="D13" s="10" t="s">
        <v>70</v>
      </c>
      <c r="E13" s="24">
        <v>32200.58</v>
      </c>
      <c r="F13" s="15"/>
      <c r="G13" s="15"/>
      <c r="H13" s="10" t="s">
        <v>31</v>
      </c>
      <c r="I13" s="10"/>
    </row>
    <row r="14" spans="1:9">
      <c r="A14" s="10">
        <v>77</v>
      </c>
      <c r="B14" s="7">
        <v>176952002</v>
      </c>
      <c r="C14" s="6">
        <v>111282011</v>
      </c>
      <c r="D14" s="10" t="s">
        <v>32</v>
      </c>
      <c r="E14" s="24">
        <v>18657.27</v>
      </c>
      <c r="F14" s="15"/>
      <c r="G14" s="15"/>
      <c r="H14" s="10" t="s">
        <v>31</v>
      </c>
      <c r="I14" s="10"/>
    </row>
    <row r="15" spans="1:9">
      <c r="A15" s="10">
        <v>78</v>
      </c>
      <c r="B15" s="7">
        <v>176952002</v>
      </c>
      <c r="C15" s="6">
        <v>111292011</v>
      </c>
      <c r="D15" s="10" t="s">
        <v>71</v>
      </c>
      <c r="E15" s="24">
        <v>50789.02</v>
      </c>
      <c r="F15" s="15"/>
      <c r="G15" s="15"/>
      <c r="H15" s="10" t="s">
        <v>31</v>
      </c>
      <c r="I15" s="10"/>
    </row>
    <row r="16" spans="1:9">
      <c r="A16" s="10">
        <v>82</v>
      </c>
      <c r="B16" s="7">
        <v>150722002</v>
      </c>
      <c r="C16" s="6">
        <v>125122011</v>
      </c>
      <c r="D16" s="10" t="s">
        <v>73</v>
      </c>
      <c r="E16" s="24">
        <v>13312.26</v>
      </c>
      <c r="F16" s="15"/>
      <c r="G16" s="15"/>
      <c r="H16" s="10" t="s">
        <v>31</v>
      </c>
      <c r="I16" s="10"/>
    </row>
    <row r="17" spans="1:9">
      <c r="A17" s="10">
        <v>83</v>
      </c>
      <c r="B17" s="7">
        <v>150722002</v>
      </c>
      <c r="C17" s="6">
        <v>125132011</v>
      </c>
      <c r="D17" s="10" t="s">
        <v>75</v>
      </c>
      <c r="E17" s="24">
        <v>2662.45</v>
      </c>
      <c r="F17" s="15"/>
      <c r="G17" s="15"/>
      <c r="H17" s="10" t="s">
        <v>31</v>
      </c>
      <c r="I17" s="10"/>
    </row>
    <row r="18" spans="1:9">
      <c r="A18" s="10">
        <v>86</v>
      </c>
      <c r="B18" s="7">
        <v>129642002</v>
      </c>
      <c r="C18" s="6">
        <v>129292011</v>
      </c>
      <c r="D18" s="10" t="s">
        <v>78</v>
      </c>
      <c r="E18" s="24">
        <v>59853.279999999999</v>
      </c>
      <c r="F18" s="15"/>
      <c r="G18" s="15"/>
      <c r="H18" s="10" t="s">
        <v>31</v>
      </c>
      <c r="I18" s="10"/>
    </row>
    <row r="19" spans="1:9">
      <c r="A19" s="10">
        <v>96</v>
      </c>
      <c r="B19" s="7">
        <v>76742000</v>
      </c>
      <c r="C19" s="6">
        <v>139042011</v>
      </c>
      <c r="D19" s="10" t="s">
        <v>82</v>
      </c>
      <c r="E19" s="24">
        <v>38512.33</v>
      </c>
      <c r="F19" s="15"/>
      <c r="G19" s="15"/>
      <c r="H19" s="10" t="s">
        <v>31</v>
      </c>
      <c r="I19" s="10"/>
    </row>
    <row r="20" spans="1:9">
      <c r="A20" s="10">
        <v>97</v>
      </c>
      <c r="B20" s="7">
        <v>76742000</v>
      </c>
      <c r="C20" s="6">
        <v>139052011</v>
      </c>
      <c r="D20" s="10" t="s">
        <v>84</v>
      </c>
      <c r="E20" s="24">
        <v>10372.81</v>
      </c>
      <c r="F20" s="15"/>
      <c r="G20" s="15"/>
      <c r="H20" s="10" t="s">
        <v>31</v>
      </c>
      <c r="I20" s="10"/>
    </row>
    <row r="21" spans="1:9">
      <c r="A21" s="10">
        <v>98</v>
      </c>
      <c r="B21" s="7">
        <v>76742000</v>
      </c>
      <c r="C21" s="6">
        <v>139072011</v>
      </c>
      <c r="D21" s="10" t="s">
        <v>88</v>
      </c>
      <c r="E21" s="24">
        <v>21635.29</v>
      </c>
      <c r="F21" s="15"/>
      <c r="G21" s="15"/>
      <c r="H21" s="10" t="s">
        <v>31</v>
      </c>
      <c r="I21" s="10"/>
    </row>
    <row r="22" spans="1:9">
      <c r="A22" s="10">
        <v>99</v>
      </c>
      <c r="B22" s="7">
        <v>76742000</v>
      </c>
      <c r="C22" s="6">
        <v>139092011</v>
      </c>
      <c r="D22" s="10" t="s">
        <v>91</v>
      </c>
      <c r="E22" s="24">
        <v>119695</v>
      </c>
      <c r="F22" s="15"/>
      <c r="G22" s="15"/>
      <c r="H22" s="10" t="s">
        <v>31</v>
      </c>
      <c r="I22" s="10"/>
    </row>
    <row r="23" spans="1:9">
      <c r="A23" s="10">
        <v>100</v>
      </c>
      <c r="B23" s="7">
        <v>76742000</v>
      </c>
      <c r="C23" s="6">
        <v>139102011</v>
      </c>
      <c r="D23" s="10" t="s">
        <v>93</v>
      </c>
      <c r="E23" s="24">
        <v>40298.44</v>
      </c>
      <c r="F23" s="15"/>
      <c r="G23" s="15"/>
      <c r="H23" s="10" t="s">
        <v>31</v>
      </c>
      <c r="I23" s="10"/>
    </row>
    <row r="24" spans="1:9">
      <c r="A24" s="10">
        <v>102</v>
      </c>
      <c r="B24" s="7">
        <v>35362006</v>
      </c>
      <c r="C24" s="6">
        <v>140762011</v>
      </c>
      <c r="D24" s="10" t="s">
        <v>95</v>
      </c>
      <c r="E24" s="24">
        <v>102224.68</v>
      </c>
      <c r="F24" s="15"/>
      <c r="G24" s="15"/>
      <c r="H24" s="10" t="s">
        <v>31</v>
      </c>
      <c r="I24" s="10"/>
    </row>
    <row r="25" spans="1:9">
      <c r="A25" s="10">
        <v>103</v>
      </c>
      <c r="B25" s="7">
        <v>35362006</v>
      </c>
      <c r="C25" s="6">
        <v>140792011</v>
      </c>
      <c r="D25" s="10" t="s">
        <v>97</v>
      </c>
      <c r="E25" s="24">
        <v>93245.79</v>
      </c>
      <c r="F25" s="15"/>
      <c r="G25" s="15"/>
      <c r="H25" s="10" t="s">
        <v>31</v>
      </c>
      <c r="I25" s="10"/>
    </row>
    <row r="26" spans="1:9">
      <c r="A26" s="10">
        <v>104</v>
      </c>
      <c r="B26" s="7">
        <v>35362006</v>
      </c>
      <c r="C26" s="6">
        <v>140802011</v>
      </c>
      <c r="D26" s="10" t="s">
        <v>99</v>
      </c>
      <c r="E26" s="24">
        <v>88267.68</v>
      </c>
      <c r="F26" s="15"/>
      <c r="G26" s="15"/>
      <c r="H26" s="10" t="s">
        <v>31</v>
      </c>
      <c r="I26" s="10"/>
    </row>
    <row r="27" spans="1:9" ht="15.75" customHeight="1">
      <c r="A27" s="30">
        <v>105</v>
      </c>
      <c r="B27" s="32">
        <v>35362006</v>
      </c>
      <c r="C27" s="34">
        <v>140832011</v>
      </c>
      <c r="D27" s="30" t="s">
        <v>120</v>
      </c>
      <c r="E27" s="36">
        <v>88267.68</v>
      </c>
      <c r="F27" s="38"/>
      <c r="G27" s="38"/>
      <c r="H27" s="39" t="s">
        <v>31</v>
      </c>
      <c r="I27" s="30"/>
    </row>
    <row r="28" spans="1:9">
      <c r="A28" s="41">
        <v>158</v>
      </c>
      <c r="B28" s="43">
        <v>16262003</v>
      </c>
      <c r="C28" s="41">
        <v>163592011</v>
      </c>
      <c r="D28" s="41" t="s">
        <v>122</v>
      </c>
      <c r="E28" s="45">
        <v>69357.95</v>
      </c>
      <c r="F28" s="47">
        <f t="shared" ref="F28:F32" si="0">E28*0.1</f>
        <v>6935.7950000000001</v>
      </c>
      <c r="G28" s="49">
        <v>0</v>
      </c>
      <c r="H28" s="51" t="s">
        <v>31</v>
      </c>
      <c r="I28" s="14" t="s">
        <v>81</v>
      </c>
    </row>
    <row r="29" spans="1:9">
      <c r="A29" s="10">
        <v>160</v>
      </c>
      <c r="B29" s="43">
        <v>16262003</v>
      </c>
      <c r="C29" s="10">
        <v>163612011</v>
      </c>
      <c r="D29" s="10" t="s">
        <v>124</v>
      </c>
      <c r="E29" s="12">
        <v>114558.76</v>
      </c>
      <c r="F29" s="47">
        <f t="shared" si="0"/>
        <v>11455.876</v>
      </c>
      <c r="G29" s="49">
        <v>0</v>
      </c>
      <c r="H29" s="51" t="s">
        <v>31</v>
      </c>
      <c r="I29" s="14" t="s">
        <v>81</v>
      </c>
    </row>
    <row r="30" spans="1:9">
      <c r="A30" s="10">
        <v>161</v>
      </c>
      <c r="B30" s="43">
        <v>16262003</v>
      </c>
      <c r="C30" s="10">
        <v>163622011</v>
      </c>
      <c r="D30" s="10" t="s">
        <v>125</v>
      </c>
      <c r="E30" s="12">
        <v>19237.59</v>
      </c>
      <c r="F30" s="47">
        <f t="shared" si="0"/>
        <v>1923.759</v>
      </c>
      <c r="G30" s="49">
        <v>0</v>
      </c>
      <c r="H30" s="51" t="s">
        <v>31</v>
      </c>
      <c r="I30" s="14" t="s">
        <v>81</v>
      </c>
    </row>
    <row r="31" spans="1:9">
      <c r="A31" s="10">
        <v>163</v>
      </c>
      <c r="B31" s="43">
        <v>16262003</v>
      </c>
      <c r="C31" s="10">
        <v>163652011</v>
      </c>
      <c r="D31" s="10" t="s">
        <v>126</v>
      </c>
      <c r="E31" s="12">
        <v>71734.52</v>
      </c>
      <c r="F31" s="47">
        <f t="shared" si="0"/>
        <v>7173.4520000000011</v>
      </c>
      <c r="G31" s="49">
        <v>0</v>
      </c>
      <c r="H31" s="51" t="s">
        <v>31</v>
      </c>
      <c r="I31" s="14" t="s">
        <v>81</v>
      </c>
    </row>
    <row r="32" spans="1:9">
      <c r="A32" s="10">
        <v>165</v>
      </c>
      <c r="B32" s="43">
        <v>16262003</v>
      </c>
      <c r="C32" s="10">
        <v>163742011</v>
      </c>
      <c r="D32" s="10" t="s">
        <v>127</v>
      </c>
      <c r="E32" s="12">
        <v>19237.59</v>
      </c>
      <c r="F32" s="47">
        <f t="shared" si="0"/>
        <v>1923.759</v>
      </c>
      <c r="G32" s="49">
        <v>0</v>
      </c>
      <c r="H32" s="51" t="s">
        <v>31</v>
      </c>
      <c r="I32" s="14" t="s">
        <v>81</v>
      </c>
    </row>
    <row r="33" spans="1:9">
      <c r="A33" s="10">
        <v>166</v>
      </c>
      <c r="B33" s="43">
        <v>16262003</v>
      </c>
      <c r="C33" s="10">
        <v>163752011</v>
      </c>
      <c r="D33" s="10" t="s">
        <v>75</v>
      </c>
      <c r="E33" s="12">
        <v>29412.639999999999</v>
      </c>
      <c r="F33" s="49">
        <v>0</v>
      </c>
      <c r="G33" s="49">
        <f>E33</f>
        <v>29412.639999999999</v>
      </c>
      <c r="H33" s="51" t="s">
        <v>128</v>
      </c>
      <c r="I33" s="14" t="s">
        <v>81</v>
      </c>
    </row>
    <row r="34" spans="1:9">
      <c r="A34" s="10">
        <v>167</v>
      </c>
      <c r="B34" s="7">
        <v>32302003</v>
      </c>
      <c r="C34" s="10">
        <v>163762011</v>
      </c>
      <c r="D34" s="10" t="s">
        <v>129</v>
      </c>
      <c r="E34" s="12">
        <v>43121.17</v>
      </c>
      <c r="F34" s="49">
        <f t="shared" ref="F34:F40" si="1">E34*0.1</f>
        <v>4312.1170000000002</v>
      </c>
      <c r="G34" s="49">
        <v>0</v>
      </c>
      <c r="H34" s="51" t="s">
        <v>31</v>
      </c>
      <c r="I34" s="14" t="s">
        <v>81</v>
      </c>
    </row>
    <row r="35" spans="1:9">
      <c r="A35" s="10">
        <v>168</v>
      </c>
      <c r="B35" s="7">
        <v>32302003</v>
      </c>
      <c r="C35" s="10">
        <v>163772011</v>
      </c>
      <c r="D35" s="10" t="s">
        <v>130</v>
      </c>
      <c r="E35" s="12">
        <v>121321.4</v>
      </c>
      <c r="F35" s="49">
        <f t="shared" si="1"/>
        <v>12132.14</v>
      </c>
      <c r="G35" s="49">
        <v>0</v>
      </c>
      <c r="H35" s="51" t="s">
        <v>31</v>
      </c>
      <c r="I35" s="14" t="s">
        <v>81</v>
      </c>
    </row>
    <row r="36" spans="1:9">
      <c r="A36" s="10">
        <v>169</v>
      </c>
      <c r="B36" s="7">
        <v>32302003</v>
      </c>
      <c r="C36" s="10">
        <v>163792011</v>
      </c>
      <c r="D36" s="10" t="s">
        <v>131</v>
      </c>
      <c r="E36" s="12">
        <v>93388.05</v>
      </c>
      <c r="F36" s="49">
        <f t="shared" si="1"/>
        <v>9338.8050000000003</v>
      </c>
      <c r="G36" s="49">
        <v>0</v>
      </c>
      <c r="H36" s="51" t="s">
        <v>31</v>
      </c>
      <c r="I36" s="14" t="s">
        <v>81</v>
      </c>
    </row>
    <row r="37" spans="1:9">
      <c r="A37" s="10">
        <v>170</v>
      </c>
      <c r="B37" s="7">
        <v>32302003</v>
      </c>
      <c r="C37" s="10">
        <v>163802011</v>
      </c>
      <c r="D37" s="10" t="s">
        <v>132</v>
      </c>
      <c r="E37" s="12">
        <v>41529.64</v>
      </c>
      <c r="F37" s="49">
        <f t="shared" si="1"/>
        <v>4152.9639999999999</v>
      </c>
      <c r="G37" s="49">
        <v>0</v>
      </c>
      <c r="H37" s="51" t="s">
        <v>31</v>
      </c>
      <c r="I37" s="14" t="s">
        <v>81</v>
      </c>
    </row>
    <row r="38" spans="1:9">
      <c r="A38" s="10">
        <v>171</v>
      </c>
      <c r="B38" s="7">
        <v>32302003</v>
      </c>
      <c r="C38" s="10">
        <v>163812011</v>
      </c>
      <c r="D38" s="10" t="s">
        <v>133</v>
      </c>
      <c r="E38" s="12">
        <v>74065.3</v>
      </c>
      <c r="F38" s="49">
        <f t="shared" si="1"/>
        <v>7406.5300000000007</v>
      </c>
      <c r="G38" s="49">
        <v>0</v>
      </c>
      <c r="H38" s="51" t="s">
        <v>31</v>
      </c>
      <c r="I38" s="14" t="s">
        <v>81</v>
      </c>
    </row>
    <row r="39" spans="1:9">
      <c r="A39" s="10">
        <v>172</v>
      </c>
      <c r="B39" s="7">
        <v>32302003</v>
      </c>
      <c r="C39" s="10">
        <v>163822011</v>
      </c>
      <c r="D39" s="10" t="s">
        <v>136</v>
      </c>
      <c r="E39" s="12">
        <v>102970.42</v>
      </c>
      <c r="F39" s="49">
        <f t="shared" si="1"/>
        <v>10297.042000000001</v>
      </c>
      <c r="G39" s="49">
        <v>0</v>
      </c>
      <c r="H39" s="51" t="s">
        <v>31</v>
      </c>
      <c r="I39" s="14" t="s">
        <v>81</v>
      </c>
    </row>
    <row r="40" spans="1:9">
      <c r="A40" s="10">
        <v>173</v>
      </c>
      <c r="B40" s="7">
        <v>32302003</v>
      </c>
      <c r="C40" s="10">
        <v>163832011</v>
      </c>
      <c r="D40" s="10" t="s">
        <v>137</v>
      </c>
      <c r="E40" s="12">
        <v>85725.73</v>
      </c>
      <c r="F40" s="49">
        <f t="shared" si="1"/>
        <v>8572.5730000000003</v>
      </c>
      <c r="G40" s="49">
        <v>0</v>
      </c>
      <c r="H40" s="51" t="s">
        <v>31</v>
      </c>
      <c r="I40" s="14" t="s">
        <v>81</v>
      </c>
    </row>
    <row r="41" spans="1:9">
      <c r="A41" s="10">
        <v>174</v>
      </c>
      <c r="B41" s="7">
        <v>32302003</v>
      </c>
      <c r="C41" s="10">
        <v>163842011</v>
      </c>
      <c r="D41" s="10" t="s">
        <v>138</v>
      </c>
      <c r="E41" s="12">
        <v>28356.09</v>
      </c>
      <c r="F41" s="49">
        <v>0</v>
      </c>
      <c r="G41" s="47">
        <f>E41</f>
        <v>28356.09</v>
      </c>
      <c r="H41" s="51" t="s">
        <v>31</v>
      </c>
      <c r="I41" s="14" t="s">
        <v>81</v>
      </c>
    </row>
    <row r="42" spans="1:9">
      <c r="A42" s="10">
        <v>182</v>
      </c>
      <c r="B42" s="7">
        <v>218452002</v>
      </c>
      <c r="C42" s="10">
        <v>168252011</v>
      </c>
      <c r="D42" s="14" t="s">
        <v>140</v>
      </c>
      <c r="E42" s="12">
        <v>30191.57</v>
      </c>
      <c r="F42" s="47">
        <f t="shared" ref="F42:F44" si="2">E42*0.1</f>
        <v>3019.1570000000002</v>
      </c>
      <c r="G42" s="47">
        <f>E42*0.05</f>
        <v>1509.5785000000001</v>
      </c>
      <c r="H42" s="51" t="s">
        <v>31</v>
      </c>
      <c r="I42" s="14" t="s">
        <v>81</v>
      </c>
    </row>
    <row r="43" spans="1:9">
      <c r="A43" s="10">
        <v>188</v>
      </c>
      <c r="B43" s="7">
        <v>73992003</v>
      </c>
      <c r="C43" s="10">
        <v>169952011</v>
      </c>
      <c r="D43" s="10" t="s">
        <v>143</v>
      </c>
      <c r="E43" s="12">
        <v>141695.54999999999</v>
      </c>
      <c r="F43" s="47">
        <f t="shared" si="2"/>
        <v>14169.555</v>
      </c>
      <c r="G43" s="47">
        <f>E43*0.1</f>
        <v>14169.555</v>
      </c>
      <c r="H43" s="51" t="s">
        <v>31</v>
      </c>
      <c r="I43" s="14" t="s">
        <v>81</v>
      </c>
    </row>
    <row r="44" spans="1:9">
      <c r="A44" s="10">
        <v>191</v>
      </c>
      <c r="B44" s="7">
        <v>132082000</v>
      </c>
      <c r="C44" s="10">
        <v>170112011</v>
      </c>
      <c r="D44" s="10" t="s">
        <v>145</v>
      </c>
      <c r="E44" s="12">
        <v>58010.32</v>
      </c>
      <c r="F44" s="47">
        <f t="shared" si="2"/>
        <v>5801.0320000000002</v>
      </c>
      <c r="G44" s="49">
        <v>0</v>
      </c>
      <c r="H44" s="51" t="s">
        <v>31</v>
      </c>
      <c r="I44" s="14" t="s">
        <v>81</v>
      </c>
    </row>
    <row r="45" spans="1:9">
      <c r="A45" s="10">
        <v>192</v>
      </c>
      <c r="B45" s="7">
        <v>132082000</v>
      </c>
      <c r="C45" s="10">
        <v>170132011</v>
      </c>
      <c r="D45" s="10" t="s">
        <v>88</v>
      </c>
      <c r="E45" s="12">
        <v>2900.52</v>
      </c>
      <c r="F45" s="49">
        <v>0</v>
      </c>
      <c r="G45" s="47">
        <f>E45</f>
        <v>2900.52</v>
      </c>
      <c r="H45" s="51" t="s">
        <v>31</v>
      </c>
      <c r="I45" s="14" t="s">
        <v>81</v>
      </c>
    </row>
    <row r="46" spans="1:9">
      <c r="A46" s="10">
        <v>197</v>
      </c>
      <c r="B46" s="7">
        <v>136032002</v>
      </c>
      <c r="C46" s="10">
        <v>171392011</v>
      </c>
      <c r="D46" s="10" t="s">
        <v>146</v>
      </c>
      <c r="E46" s="12">
        <v>9648.64</v>
      </c>
      <c r="F46" s="47">
        <f t="shared" ref="F46:F50" si="3">E46*0.1</f>
        <v>964.86400000000003</v>
      </c>
      <c r="G46" s="47">
        <f>E46*0.2</f>
        <v>1929.7280000000001</v>
      </c>
      <c r="H46" s="51" t="s">
        <v>149</v>
      </c>
      <c r="I46" s="14" t="s">
        <v>81</v>
      </c>
    </row>
    <row r="47" spans="1:9">
      <c r="A47" s="10">
        <v>210</v>
      </c>
      <c r="B47" s="7">
        <v>136392002</v>
      </c>
      <c r="C47" s="10">
        <v>175742011</v>
      </c>
      <c r="D47" s="10" t="s">
        <v>150</v>
      </c>
      <c r="E47" s="12">
        <v>7388.95</v>
      </c>
      <c r="F47" s="47">
        <f t="shared" si="3"/>
        <v>738.89499999999998</v>
      </c>
      <c r="G47" s="47">
        <f>F47*0.1</f>
        <v>73.889499999999998</v>
      </c>
      <c r="H47" s="51" t="s">
        <v>31</v>
      </c>
      <c r="I47" s="14" t="s">
        <v>81</v>
      </c>
    </row>
    <row r="48" spans="1:9">
      <c r="A48" s="10">
        <v>214</v>
      </c>
      <c r="B48" s="7">
        <v>281082007</v>
      </c>
      <c r="C48" s="10">
        <v>175822011</v>
      </c>
      <c r="D48" s="10" t="s">
        <v>152</v>
      </c>
      <c r="E48" s="12">
        <v>168629.2</v>
      </c>
      <c r="F48" s="49">
        <f t="shared" si="3"/>
        <v>16862.920000000002</v>
      </c>
      <c r="G48" s="49">
        <f>E48*0.1</f>
        <v>16862.920000000002</v>
      </c>
      <c r="H48" s="51" t="s">
        <v>31</v>
      </c>
      <c r="I48" s="14" t="s">
        <v>81</v>
      </c>
    </row>
    <row r="49" spans="1:9">
      <c r="A49" s="10">
        <v>221</v>
      </c>
      <c r="B49" s="7">
        <v>43492003</v>
      </c>
      <c r="C49" s="10">
        <v>175982011</v>
      </c>
      <c r="D49" s="10" t="s">
        <v>153</v>
      </c>
      <c r="E49" s="12">
        <v>310368.98</v>
      </c>
      <c r="F49" s="47">
        <f t="shared" si="3"/>
        <v>31036.898000000001</v>
      </c>
      <c r="G49" s="47">
        <f>E49*0.05</f>
        <v>15518.449000000001</v>
      </c>
      <c r="H49" s="51" t="s">
        <v>31</v>
      </c>
      <c r="I49" s="14" t="s">
        <v>81</v>
      </c>
    </row>
    <row r="50" spans="1:9">
      <c r="A50" s="10">
        <v>225</v>
      </c>
      <c r="B50" s="7">
        <v>88552002</v>
      </c>
      <c r="C50" s="10">
        <v>176052011</v>
      </c>
      <c r="D50" s="10" t="s">
        <v>155</v>
      </c>
      <c r="E50" s="12">
        <v>74032.86</v>
      </c>
      <c r="F50" s="49">
        <f t="shared" si="3"/>
        <v>7403.2860000000001</v>
      </c>
      <c r="G50" s="49">
        <f>E50*0.1</f>
        <v>7403.2860000000001</v>
      </c>
      <c r="H50" s="51" t="s">
        <v>31</v>
      </c>
      <c r="I50" s="14" t="s">
        <v>81</v>
      </c>
    </row>
    <row r="51" spans="1:9">
      <c r="A51" s="10">
        <v>226</v>
      </c>
      <c r="B51" s="7">
        <v>115432002</v>
      </c>
      <c r="C51" s="10">
        <v>176072011</v>
      </c>
      <c r="D51" s="10" t="s">
        <v>88</v>
      </c>
      <c r="E51" s="12">
        <v>14137.1</v>
      </c>
      <c r="F51" s="49">
        <v>0</v>
      </c>
      <c r="G51" s="47">
        <f>E51</f>
        <v>14137.1</v>
      </c>
      <c r="H51" s="51" t="s">
        <v>31</v>
      </c>
      <c r="I51" s="14" t="s">
        <v>81</v>
      </c>
    </row>
    <row r="52" spans="1:9">
      <c r="A52" s="10">
        <v>228</v>
      </c>
      <c r="B52" s="7">
        <v>21502001</v>
      </c>
      <c r="C52" s="10">
        <v>176112011</v>
      </c>
      <c r="D52" s="10" t="s">
        <v>156</v>
      </c>
      <c r="E52" s="12">
        <v>27051.62</v>
      </c>
      <c r="F52" s="49">
        <f t="shared" ref="F52:F53" si="4">E52*0.1</f>
        <v>2705.1620000000003</v>
      </c>
      <c r="G52" s="47">
        <f>E52*0.1</f>
        <v>2705.1620000000003</v>
      </c>
      <c r="H52" s="51" t="s">
        <v>31</v>
      </c>
      <c r="I52" s="14" t="s">
        <v>81</v>
      </c>
    </row>
    <row r="53" spans="1:9">
      <c r="A53" s="10">
        <v>237</v>
      </c>
      <c r="B53" s="7">
        <v>13982003</v>
      </c>
      <c r="C53" s="10">
        <v>177992011</v>
      </c>
      <c r="D53" s="10" t="s">
        <v>157</v>
      </c>
      <c r="E53" s="12">
        <v>38669.660000000003</v>
      </c>
      <c r="F53" s="49">
        <f t="shared" si="4"/>
        <v>3866.9660000000003</v>
      </c>
      <c r="G53" s="47">
        <f>E53*0.05</f>
        <v>1933.4830000000002</v>
      </c>
      <c r="H53" s="51" t="s">
        <v>31</v>
      </c>
      <c r="I53" s="14" t="s">
        <v>81</v>
      </c>
    </row>
    <row r="54" spans="1:9">
      <c r="A54" s="10">
        <v>265</v>
      </c>
      <c r="B54" s="7">
        <v>42632003</v>
      </c>
      <c r="C54" s="10">
        <v>180262011</v>
      </c>
      <c r="D54" s="10" t="s">
        <v>70</v>
      </c>
      <c r="E54" s="12">
        <v>14393.45</v>
      </c>
      <c r="F54" s="49">
        <v>0</v>
      </c>
      <c r="G54" s="47">
        <f>E54</f>
        <v>14393.45</v>
      </c>
      <c r="H54" s="51" t="s">
        <v>31</v>
      </c>
      <c r="I54" s="14" t="s">
        <v>81</v>
      </c>
    </row>
    <row r="55" spans="1:9">
      <c r="A55" s="10">
        <v>266</v>
      </c>
      <c r="B55" s="7">
        <v>42632003</v>
      </c>
      <c r="C55" s="10">
        <v>180272011</v>
      </c>
      <c r="D55" s="10" t="s">
        <v>160</v>
      </c>
      <c r="E55" s="12">
        <v>142402.4</v>
      </c>
      <c r="F55" s="49">
        <f>E55*0.1</f>
        <v>14240.24</v>
      </c>
      <c r="G55" s="49">
        <v>0</v>
      </c>
      <c r="H55" s="51" t="s">
        <v>31</v>
      </c>
      <c r="I55" s="14" t="s">
        <v>81</v>
      </c>
    </row>
    <row r="56" spans="1:9">
      <c r="A56" s="77"/>
      <c r="B56" s="79">
        <v>132182000</v>
      </c>
      <c r="C56" s="77">
        <v>180292011</v>
      </c>
      <c r="D56" s="77" t="s">
        <v>161</v>
      </c>
      <c r="E56" s="81">
        <v>55807.93</v>
      </c>
      <c r="F56" s="82">
        <v>0</v>
      </c>
      <c r="G56" s="84">
        <v>0</v>
      </c>
      <c r="H56" s="87" t="s">
        <v>162</v>
      </c>
      <c r="I56" s="112" t="s">
        <v>81</v>
      </c>
    </row>
    <row r="57" spans="1:9">
      <c r="A57" s="115">
        <v>270</v>
      </c>
      <c r="B57" s="117">
        <v>3582002</v>
      </c>
      <c r="C57" s="115">
        <v>180362011</v>
      </c>
      <c r="D57" s="115" t="s">
        <v>32</v>
      </c>
      <c r="E57" s="119">
        <v>59788.22</v>
      </c>
      <c r="F57" s="49">
        <v>0</v>
      </c>
      <c r="G57" s="47">
        <f>E57</f>
        <v>59788.22</v>
      </c>
      <c r="H57" s="51" t="s">
        <v>31</v>
      </c>
      <c r="I57" s="14" t="s">
        <v>81</v>
      </c>
    </row>
    <row r="58" spans="1:9">
      <c r="A58" s="10">
        <v>271</v>
      </c>
      <c r="B58" s="16">
        <v>3582002</v>
      </c>
      <c r="C58" s="10">
        <v>180382011</v>
      </c>
      <c r="D58" s="14" t="s">
        <v>171</v>
      </c>
      <c r="E58" s="12">
        <v>597882.18000000005</v>
      </c>
      <c r="F58" s="49">
        <f>E58*0.1</f>
        <v>59788.218000000008</v>
      </c>
      <c r="G58" s="49">
        <v>0</v>
      </c>
      <c r="H58" s="51" t="s">
        <v>31</v>
      </c>
      <c r="I58" s="14" t="s">
        <v>81</v>
      </c>
    </row>
    <row r="59" spans="1:9">
      <c r="A59" s="77"/>
      <c r="B59" s="79">
        <v>168522002</v>
      </c>
      <c r="C59" s="77">
        <v>332782010</v>
      </c>
      <c r="D59" s="77" t="s">
        <v>172</v>
      </c>
      <c r="E59" s="81">
        <v>80823.92</v>
      </c>
      <c r="F59" s="82">
        <v>0</v>
      </c>
      <c r="G59" s="84">
        <v>0</v>
      </c>
      <c r="H59" s="87" t="s">
        <v>173</v>
      </c>
      <c r="I59" s="112" t="s">
        <v>81</v>
      </c>
    </row>
    <row r="60" spans="1:9">
      <c r="A60" s="115"/>
      <c r="B60" s="125"/>
      <c r="C60" s="115"/>
      <c r="D60" s="115"/>
      <c r="E60" s="119"/>
      <c r="F60" s="126"/>
      <c r="G60" s="126"/>
      <c r="H60" s="115"/>
      <c r="I60" s="14" t="s">
        <v>81</v>
      </c>
    </row>
    <row r="61" spans="1:9">
      <c r="A61" s="651" t="s">
        <v>176</v>
      </c>
      <c r="B61" s="652"/>
      <c r="C61" s="652"/>
      <c r="D61" s="653"/>
      <c r="E61" s="128">
        <f t="shared" ref="E61:G61" si="5">SUM(E3:E60)</f>
        <v>4152943.2</v>
      </c>
      <c r="F61" s="128">
        <f t="shared" si="5"/>
        <v>246222.005</v>
      </c>
      <c r="G61" s="128">
        <f t="shared" si="5"/>
        <v>211094.07100000005</v>
      </c>
      <c r="H61" s="130"/>
      <c r="I61" s="130"/>
    </row>
  </sheetData>
  <autoFilter ref="A2:H59"/>
  <mergeCells count="2">
    <mergeCell ref="A61:D61"/>
    <mergeCell ref="A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>
      <pane ySplit="2" topLeftCell="A18" activePane="bottomLeft" state="frozen"/>
      <selection pane="bottomLeft" activeCell="D3" sqref="D3:D51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10.140625" customWidth="1"/>
    <col min="4" max="4" width="9.85546875" customWidth="1"/>
    <col min="5" max="5" width="28.140625" customWidth="1"/>
    <col min="6" max="6" width="10.7109375" customWidth="1"/>
    <col min="7" max="7" width="10" customWidth="1"/>
    <col min="8" max="8" width="7.42578125" customWidth="1"/>
    <col min="9" max="10" width="9.5703125" customWidth="1"/>
    <col min="11" max="11" width="39" customWidth="1"/>
    <col min="12" max="12" width="4.42578125" customWidth="1"/>
  </cols>
  <sheetData>
    <row r="1" spans="1:12">
      <c r="A1" s="654" t="s">
        <v>2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3"/>
    </row>
    <row r="2" spans="1:12">
      <c r="A2" s="1" t="s">
        <v>3</v>
      </c>
      <c r="B2" s="3" t="s">
        <v>6</v>
      </c>
      <c r="C2" s="3" t="s">
        <v>8</v>
      </c>
      <c r="D2" s="1" t="s">
        <v>9</v>
      </c>
      <c r="E2" s="1" t="s">
        <v>10</v>
      </c>
      <c r="F2" s="1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1" t="s">
        <v>16</v>
      </c>
      <c r="L2" s="3" t="s">
        <v>17</v>
      </c>
    </row>
    <row r="3" spans="1:12">
      <c r="A3" s="5">
        <v>4632002</v>
      </c>
      <c r="B3" s="8" t="s">
        <v>22</v>
      </c>
      <c r="C3" s="9">
        <v>37271</v>
      </c>
      <c r="D3" s="660">
        <v>189202012</v>
      </c>
      <c r="E3" s="11" t="s">
        <v>25</v>
      </c>
      <c r="F3" s="13">
        <v>63313.22</v>
      </c>
      <c r="G3" s="19">
        <f t="shared" ref="G3:G52" si="0">IF(H3=0,F3*0.1,IF(OR(B3="Descompressão",B3="MS 207002004"),(F3-I3)*0.05,(F3-I3)*0.1))</f>
        <v>5755.7472727272725</v>
      </c>
      <c r="H3" s="20">
        <v>0.1</v>
      </c>
      <c r="I3" s="19">
        <f t="shared" ref="I3:I52" si="1">IF(H3=100%,F3,IF(H3=0,0,(F3-(F3/(1+H3)))))</f>
        <v>5755.7472727272761</v>
      </c>
      <c r="J3" s="19">
        <f t="shared" ref="J3:J52" si="2">IF(OR($C3&lt;DATE(2002,7,30),$C3&gt;DATE(2012,1,3)),$I3,IF(AND($C3&gt;DATE(2002,7,29),$C3&lt;DATE(2004,3,1)),$I3*0.64,IF(AND($C3&gt;DATE(2004,2,28),$C3&lt;DATE(2012,1,4)),$I3*0.658)))</f>
        <v>5755.7472727272761</v>
      </c>
      <c r="K3" s="11" t="s">
        <v>79</v>
      </c>
      <c r="L3" s="26" t="s">
        <v>81</v>
      </c>
    </row>
    <row r="4" spans="1:12">
      <c r="A4" s="27">
        <v>4632002</v>
      </c>
      <c r="B4" s="28" t="s">
        <v>22</v>
      </c>
      <c r="C4" s="29">
        <v>37271</v>
      </c>
      <c r="D4" s="661">
        <v>189172012</v>
      </c>
      <c r="E4" s="31" t="s">
        <v>119</v>
      </c>
      <c r="F4" s="33">
        <v>124449.29</v>
      </c>
      <c r="G4" s="35">
        <f t="shared" si="0"/>
        <v>11313.571818181817</v>
      </c>
      <c r="H4" s="37">
        <v>0.1</v>
      </c>
      <c r="I4" s="35">
        <f t="shared" si="1"/>
        <v>11313.571818181823</v>
      </c>
      <c r="J4" s="35">
        <f t="shared" si="2"/>
        <v>11313.571818181823</v>
      </c>
      <c r="K4" s="31" t="s">
        <v>79</v>
      </c>
      <c r="L4" s="40" t="s">
        <v>81</v>
      </c>
    </row>
    <row r="5" spans="1:12">
      <c r="A5" s="42">
        <v>4632002</v>
      </c>
      <c r="B5" s="44" t="s">
        <v>22</v>
      </c>
      <c r="C5" s="46">
        <v>37271</v>
      </c>
      <c r="D5" s="662">
        <v>189212012</v>
      </c>
      <c r="E5" s="48" t="s">
        <v>123</v>
      </c>
      <c r="F5" s="50">
        <v>26775.69</v>
      </c>
      <c r="G5" s="52">
        <f t="shared" si="0"/>
        <v>2434.1536363636365</v>
      </c>
      <c r="H5" s="55">
        <v>0.1</v>
      </c>
      <c r="I5" s="52">
        <f t="shared" si="1"/>
        <v>2434.1536363636369</v>
      </c>
      <c r="J5" s="52">
        <f t="shared" si="2"/>
        <v>2434.1536363636369</v>
      </c>
      <c r="K5" s="58" t="s">
        <v>79</v>
      </c>
      <c r="L5" s="60" t="s">
        <v>81</v>
      </c>
    </row>
    <row r="6" spans="1:12">
      <c r="A6" s="5">
        <v>14012003</v>
      </c>
      <c r="B6" s="8" t="s">
        <v>22</v>
      </c>
      <c r="C6" s="9">
        <v>37645</v>
      </c>
      <c r="D6" s="660">
        <v>161832012</v>
      </c>
      <c r="E6" s="11" t="s">
        <v>139</v>
      </c>
      <c r="F6" s="13">
        <v>75573.69</v>
      </c>
      <c r="G6" s="19">
        <f t="shared" si="0"/>
        <v>6870.335454545454</v>
      </c>
      <c r="H6" s="20">
        <v>0.1</v>
      </c>
      <c r="I6" s="19">
        <f t="shared" si="1"/>
        <v>6870.335454545464</v>
      </c>
      <c r="J6" s="19">
        <f t="shared" si="2"/>
        <v>4397.0146909090972</v>
      </c>
      <c r="K6" s="11" t="s">
        <v>79</v>
      </c>
      <c r="L6" s="26" t="s">
        <v>81</v>
      </c>
    </row>
    <row r="7" spans="1:12">
      <c r="A7" s="27">
        <v>14012003</v>
      </c>
      <c r="B7" s="28" t="s">
        <v>22</v>
      </c>
      <c r="C7" s="29">
        <v>37645</v>
      </c>
      <c r="D7" s="661">
        <v>161842012</v>
      </c>
      <c r="E7" s="31" t="s">
        <v>142</v>
      </c>
      <c r="F7" s="33">
        <v>102025.52</v>
      </c>
      <c r="G7" s="35">
        <f t="shared" si="0"/>
        <v>9275.0472727272718</v>
      </c>
      <c r="H7" s="37">
        <v>0.1</v>
      </c>
      <c r="I7" s="35">
        <f t="shared" si="1"/>
        <v>9275.0472727272863</v>
      </c>
      <c r="J7" s="35">
        <f t="shared" si="2"/>
        <v>5936.0302545454633</v>
      </c>
      <c r="K7" s="31" t="s">
        <v>79</v>
      </c>
      <c r="L7" s="40" t="s">
        <v>81</v>
      </c>
    </row>
    <row r="8" spans="1:12">
      <c r="A8" s="27">
        <v>14012003</v>
      </c>
      <c r="B8" s="28" t="s">
        <v>22</v>
      </c>
      <c r="C8" s="29">
        <v>37645</v>
      </c>
      <c r="D8" s="661">
        <v>161962012</v>
      </c>
      <c r="E8" s="31" t="s">
        <v>144</v>
      </c>
      <c r="F8" s="33">
        <v>84470.47</v>
      </c>
      <c r="G8" s="35">
        <f t="shared" si="0"/>
        <v>7679.1336363636365</v>
      </c>
      <c r="H8" s="37">
        <v>0.1</v>
      </c>
      <c r="I8" s="35">
        <f t="shared" si="1"/>
        <v>7679.1336363636365</v>
      </c>
      <c r="J8" s="35">
        <f t="shared" si="2"/>
        <v>4914.6455272727271</v>
      </c>
      <c r="K8" s="31" t="s">
        <v>79</v>
      </c>
      <c r="L8" s="40" t="s">
        <v>81</v>
      </c>
    </row>
    <row r="9" spans="1:12">
      <c r="A9" s="27">
        <v>14012003</v>
      </c>
      <c r="B9" s="28" t="s">
        <v>22</v>
      </c>
      <c r="C9" s="29">
        <v>37645</v>
      </c>
      <c r="D9" s="661">
        <v>161882012</v>
      </c>
      <c r="E9" s="31" t="s">
        <v>147</v>
      </c>
      <c r="F9" s="33">
        <v>80582.759999999995</v>
      </c>
      <c r="G9" s="35">
        <f t="shared" si="0"/>
        <v>7325.7054545454539</v>
      </c>
      <c r="H9" s="37">
        <v>0.1</v>
      </c>
      <c r="I9" s="35">
        <f t="shared" si="1"/>
        <v>7325.7054545454594</v>
      </c>
      <c r="J9" s="35">
        <f t="shared" si="2"/>
        <v>4688.451490909094</v>
      </c>
      <c r="K9" s="65" t="s">
        <v>148</v>
      </c>
      <c r="L9" s="40" t="s">
        <v>81</v>
      </c>
    </row>
    <row r="10" spans="1:12">
      <c r="A10" s="42">
        <v>14012003</v>
      </c>
      <c r="B10" s="44" t="s">
        <v>22</v>
      </c>
      <c r="C10" s="46">
        <v>37645</v>
      </c>
      <c r="D10" s="662">
        <v>161932012</v>
      </c>
      <c r="E10" s="48" t="s">
        <v>151</v>
      </c>
      <c r="F10" s="50">
        <v>83005.02</v>
      </c>
      <c r="G10" s="52">
        <f t="shared" si="0"/>
        <v>7545.9109090909087</v>
      </c>
      <c r="H10" s="55">
        <v>0.1</v>
      </c>
      <c r="I10" s="52">
        <f t="shared" si="1"/>
        <v>7545.9109090909187</v>
      </c>
      <c r="J10" s="52">
        <f t="shared" si="2"/>
        <v>4829.3829818181885</v>
      </c>
      <c r="K10" s="48" t="s">
        <v>79</v>
      </c>
      <c r="L10" s="60" t="s">
        <v>81</v>
      </c>
    </row>
    <row r="11" spans="1:12">
      <c r="A11" s="5">
        <v>14082003</v>
      </c>
      <c r="B11" s="8" t="s">
        <v>22</v>
      </c>
      <c r="C11" s="9">
        <v>37645</v>
      </c>
      <c r="D11" s="660">
        <v>300332011</v>
      </c>
      <c r="E11" s="11" t="s">
        <v>154</v>
      </c>
      <c r="F11" s="13">
        <v>397776.16</v>
      </c>
      <c r="G11" s="19">
        <f t="shared" si="0"/>
        <v>39777.616000000002</v>
      </c>
      <c r="H11" s="20">
        <v>0</v>
      </c>
      <c r="I11" s="66">
        <f t="shared" si="1"/>
        <v>0</v>
      </c>
      <c r="J11" s="19">
        <f t="shared" si="2"/>
        <v>0</v>
      </c>
      <c r="K11" s="68" t="s">
        <v>148</v>
      </c>
      <c r="L11" s="26" t="s">
        <v>81</v>
      </c>
    </row>
    <row r="12" spans="1:12">
      <c r="A12" s="42">
        <v>14082003</v>
      </c>
      <c r="B12" s="70" t="s">
        <v>22</v>
      </c>
      <c r="C12" s="72">
        <v>37645</v>
      </c>
      <c r="D12" s="663">
        <v>300352011</v>
      </c>
      <c r="E12" s="74" t="s">
        <v>159</v>
      </c>
      <c r="F12" s="76">
        <v>39777.620000000003</v>
      </c>
      <c r="G12" s="78">
        <f t="shared" si="0"/>
        <v>0</v>
      </c>
      <c r="H12" s="55">
        <v>1</v>
      </c>
      <c r="I12" s="80">
        <f t="shared" si="1"/>
        <v>39777.620000000003</v>
      </c>
      <c r="J12" s="52">
        <f t="shared" si="2"/>
        <v>25457.676800000001</v>
      </c>
      <c r="K12" s="74" t="s">
        <v>79</v>
      </c>
      <c r="L12" s="60" t="s">
        <v>81</v>
      </c>
    </row>
    <row r="13" spans="1:12">
      <c r="A13" s="5">
        <v>16142003</v>
      </c>
      <c r="B13" s="83"/>
      <c r="C13" s="9">
        <v>37650</v>
      </c>
      <c r="D13" s="660">
        <v>270132011</v>
      </c>
      <c r="E13" s="11" t="s">
        <v>159</v>
      </c>
      <c r="F13" s="63">
        <v>29487.81</v>
      </c>
      <c r="G13" s="66">
        <f t="shared" si="0"/>
        <v>0</v>
      </c>
      <c r="H13" s="20">
        <v>1</v>
      </c>
      <c r="I13" s="19">
        <f t="shared" si="1"/>
        <v>29487.81</v>
      </c>
      <c r="J13" s="19">
        <f t="shared" si="2"/>
        <v>18872.198400000001</v>
      </c>
      <c r="K13" s="11" t="s">
        <v>79</v>
      </c>
      <c r="L13" s="26" t="s">
        <v>81</v>
      </c>
    </row>
    <row r="14" spans="1:12">
      <c r="A14" s="42">
        <v>16142003</v>
      </c>
      <c r="B14" s="86"/>
      <c r="C14" s="46">
        <v>37650</v>
      </c>
      <c r="D14" s="662">
        <v>270162011</v>
      </c>
      <c r="E14" s="48" t="s">
        <v>163</v>
      </c>
      <c r="F14" s="88">
        <v>294878.09999999998</v>
      </c>
      <c r="G14" s="52">
        <f t="shared" si="0"/>
        <v>29487.809999999998</v>
      </c>
      <c r="H14" s="55">
        <v>0</v>
      </c>
      <c r="I14" s="78">
        <f t="shared" si="1"/>
        <v>0</v>
      </c>
      <c r="J14" s="52">
        <f t="shared" si="2"/>
        <v>0</v>
      </c>
      <c r="K14" s="48" t="s">
        <v>79</v>
      </c>
      <c r="L14" s="60" t="s">
        <v>81</v>
      </c>
    </row>
    <row r="15" spans="1:12">
      <c r="A15" s="90">
        <v>20162000</v>
      </c>
      <c r="B15" s="92"/>
      <c r="C15" s="94">
        <v>36570</v>
      </c>
      <c r="D15" s="664">
        <v>163362011</v>
      </c>
      <c r="E15" s="96" t="s">
        <v>164</v>
      </c>
      <c r="F15" s="98">
        <v>18264.259999999998</v>
      </c>
      <c r="G15" s="100">
        <f t="shared" si="0"/>
        <v>1660.3872727272724</v>
      </c>
      <c r="H15" s="101">
        <v>0.1</v>
      </c>
      <c r="I15" s="103">
        <f t="shared" si="1"/>
        <v>1660.3872727272756</v>
      </c>
      <c r="J15" s="100">
        <f t="shared" si="2"/>
        <v>1660.3872727272756</v>
      </c>
      <c r="K15" s="105" t="s">
        <v>166</v>
      </c>
      <c r="L15" s="107" t="s">
        <v>81</v>
      </c>
    </row>
    <row r="16" spans="1:12">
      <c r="A16" s="90">
        <v>20172000</v>
      </c>
      <c r="B16" s="92"/>
      <c r="C16" s="94">
        <v>36570</v>
      </c>
      <c r="D16" s="664">
        <v>209032012</v>
      </c>
      <c r="E16" s="96" t="s">
        <v>167</v>
      </c>
      <c r="F16" s="109">
        <v>33657.9</v>
      </c>
      <c r="G16" s="100">
        <f t="shared" si="0"/>
        <v>2926.7739130434788</v>
      </c>
      <c r="H16" s="101">
        <v>0.15</v>
      </c>
      <c r="I16" s="103">
        <f t="shared" si="1"/>
        <v>4390.1608695652139</v>
      </c>
      <c r="J16" s="100">
        <f t="shared" si="2"/>
        <v>4390.1608695652139</v>
      </c>
      <c r="K16" s="105" t="s">
        <v>166</v>
      </c>
      <c r="L16" s="107" t="s">
        <v>81</v>
      </c>
    </row>
    <row r="17" spans="1:12">
      <c r="A17" s="5">
        <v>27572003</v>
      </c>
      <c r="B17" s="83"/>
      <c r="C17" s="9">
        <v>37664</v>
      </c>
      <c r="D17" s="660">
        <v>265722011</v>
      </c>
      <c r="E17" s="11" t="s">
        <v>169</v>
      </c>
      <c r="F17" s="113">
        <v>30744.240000000002</v>
      </c>
      <c r="G17" s="19">
        <f t="shared" si="0"/>
        <v>3074.4240000000004</v>
      </c>
      <c r="H17" s="20">
        <v>0</v>
      </c>
      <c r="I17" s="66">
        <f t="shared" si="1"/>
        <v>0</v>
      </c>
      <c r="J17" s="19">
        <f t="shared" si="2"/>
        <v>0</v>
      </c>
      <c r="K17" s="11" t="s">
        <v>79</v>
      </c>
      <c r="L17" s="26" t="s">
        <v>81</v>
      </c>
    </row>
    <row r="18" spans="1:12">
      <c r="A18" s="27">
        <v>27572003</v>
      </c>
      <c r="B18" s="121"/>
      <c r="C18" s="29">
        <v>37664</v>
      </c>
      <c r="D18" s="661">
        <v>265792011</v>
      </c>
      <c r="E18" s="31" t="s">
        <v>159</v>
      </c>
      <c r="F18" s="33">
        <v>12697.79</v>
      </c>
      <c r="G18" s="123">
        <f t="shared" si="0"/>
        <v>0</v>
      </c>
      <c r="H18" s="37">
        <v>1</v>
      </c>
      <c r="I18" s="35">
        <f t="shared" si="1"/>
        <v>12697.79</v>
      </c>
      <c r="J18" s="35">
        <f t="shared" si="2"/>
        <v>8126.5856000000003</v>
      </c>
      <c r="K18" s="31" t="s">
        <v>79</v>
      </c>
      <c r="L18" s="40" t="s">
        <v>81</v>
      </c>
    </row>
    <row r="19" spans="1:12">
      <c r="A19" s="27">
        <v>27572003</v>
      </c>
      <c r="B19" s="121"/>
      <c r="C19" s="29">
        <v>37664</v>
      </c>
      <c r="D19" s="661">
        <v>265762011</v>
      </c>
      <c r="E19" s="31" t="s">
        <v>175</v>
      </c>
      <c r="F19" s="33">
        <v>47146.39</v>
      </c>
      <c r="G19" s="35">
        <f t="shared" si="0"/>
        <v>4714.6390000000001</v>
      </c>
      <c r="H19" s="37">
        <v>0</v>
      </c>
      <c r="I19" s="123">
        <f t="shared" si="1"/>
        <v>0</v>
      </c>
      <c r="J19" s="35">
        <f t="shared" si="2"/>
        <v>0</v>
      </c>
      <c r="K19" s="31" t="s">
        <v>79</v>
      </c>
      <c r="L19" s="40" t="s">
        <v>81</v>
      </c>
    </row>
    <row r="20" spans="1:12">
      <c r="A20" s="42">
        <v>27572003</v>
      </c>
      <c r="B20" s="86"/>
      <c r="C20" s="46">
        <v>37664</v>
      </c>
      <c r="D20" s="662">
        <v>265782011</v>
      </c>
      <c r="E20" s="48" t="s">
        <v>178</v>
      </c>
      <c r="F20" s="50">
        <v>40051.919999999998</v>
      </c>
      <c r="G20" s="52">
        <f t="shared" si="0"/>
        <v>4005.192</v>
      </c>
      <c r="H20" s="55">
        <v>0</v>
      </c>
      <c r="I20" s="78">
        <f t="shared" si="1"/>
        <v>0</v>
      </c>
      <c r="J20" s="52">
        <f t="shared" si="2"/>
        <v>0</v>
      </c>
      <c r="K20" s="48" t="s">
        <v>79</v>
      </c>
      <c r="L20" s="60" t="s">
        <v>81</v>
      </c>
    </row>
    <row r="21" spans="1:12">
      <c r="A21" s="90">
        <v>54922004</v>
      </c>
      <c r="B21" s="92"/>
      <c r="C21" s="94">
        <v>38232</v>
      </c>
      <c r="D21" s="664">
        <v>115902012</v>
      </c>
      <c r="E21" s="96" t="s">
        <v>179</v>
      </c>
      <c r="F21" s="98">
        <v>70917.83</v>
      </c>
      <c r="G21" s="100">
        <f t="shared" si="0"/>
        <v>6447.0754545454547</v>
      </c>
      <c r="H21" s="101">
        <v>0.1</v>
      </c>
      <c r="I21" s="100">
        <f t="shared" si="1"/>
        <v>6447.075454545462</v>
      </c>
      <c r="J21" s="100">
        <f t="shared" si="2"/>
        <v>4242.1756490909138</v>
      </c>
      <c r="K21" s="96" t="s">
        <v>79</v>
      </c>
      <c r="L21" s="107" t="s">
        <v>81</v>
      </c>
    </row>
    <row r="22" spans="1:12">
      <c r="A22" s="90">
        <v>66182004</v>
      </c>
      <c r="B22" s="92"/>
      <c r="C22" s="94">
        <v>38099</v>
      </c>
      <c r="D22" s="664">
        <v>203332012</v>
      </c>
      <c r="E22" s="96" t="s">
        <v>181</v>
      </c>
      <c r="F22" s="98">
        <v>16282.54</v>
      </c>
      <c r="G22" s="100">
        <f t="shared" si="0"/>
        <v>1480.2309090909091</v>
      </c>
      <c r="H22" s="101">
        <v>0.1</v>
      </c>
      <c r="I22" s="100">
        <f t="shared" si="1"/>
        <v>1480.2309090909112</v>
      </c>
      <c r="J22" s="100">
        <f t="shared" si="2"/>
        <v>973.99193818181959</v>
      </c>
      <c r="K22" s="96" t="s">
        <v>79</v>
      </c>
      <c r="L22" s="107" t="s">
        <v>81</v>
      </c>
    </row>
    <row r="23" spans="1:12">
      <c r="A23" s="90">
        <v>67992000</v>
      </c>
      <c r="B23" s="92"/>
      <c r="C23" s="94">
        <v>36670</v>
      </c>
      <c r="D23" s="664">
        <v>213472012</v>
      </c>
      <c r="E23" s="96" t="s">
        <v>182</v>
      </c>
      <c r="F23" s="98">
        <v>92851.71</v>
      </c>
      <c r="G23" s="100">
        <f t="shared" si="0"/>
        <v>8441.0645454545447</v>
      </c>
      <c r="H23" s="101">
        <v>0.1</v>
      </c>
      <c r="I23" s="103">
        <f t="shared" si="1"/>
        <v>8441.0645454545593</v>
      </c>
      <c r="J23" s="100">
        <f t="shared" si="2"/>
        <v>8441.0645454545593</v>
      </c>
      <c r="K23" s="105" t="s">
        <v>148</v>
      </c>
      <c r="L23" s="107" t="s">
        <v>81</v>
      </c>
    </row>
    <row r="24" spans="1:12">
      <c r="A24" s="90">
        <v>114442002</v>
      </c>
      <c r="B24" s="92"/>
      <c r="C24" s="94">
        <v>37441</v>
      </c>
      <c r="D24" s="664">
        <v>209052012</v>
      </c>
      <c r="E24" s="96" t="s">
        <v>184</v>
      </c>
      <c r="F24" s="98">
        <v>33767.42</v>
      </c>
      <c r="G24" s="100">
        <f t="shared" si="0"/>
        <v>3069.7654545454543</v>
      </c>
      <c r="H24" s="101">
        <v>0.1</v>
      </c>
      <c r="I24" s="100">
        <f t="shared" si="1"/>
        <v>3069.765454545457</v>
      </c>
      <c r="J24" s="100">
        <f t="shared" si="2"/>
        <v>3069.765454545457</v>
      </c>
      <c r="K24" s="96" t="s">
        <v>79</v>
      </c>
      <c r="L24" s="107" t="s">
        <v>81</v>
      </c>
    </row>
    <row r="25" spans="1:12">
      <c r="A25" s="135">
        <v>114472002</v>
      </c>
      <c r="B25" s="136"/>
      <c r="C25" s="137">
        <v>37441</v>
      </c>
      <c r="D25" s="665">
        <v>143412012</v>
      </c>
      <c r="E25" s="138" t="s">
        <v>187</v>
      </c>
      <c r="F25" s="139">
        <v>133506.46</v>
      </c>
      <c r="G25" s="140">
        <f t="shared" si="0"/>
        <v>12714.900952380951</v>
      </c>
      <c r="H25" s="141">
        <v>0.05</v>
      </c>
      <c r="I25" s="140">
        <f t="shared" si="1"/>
        <v>6357.4504761904827</v>
      </c>
      <c r="J25" s="140">
        <f t="shared" si="2"/>
        <v>6357.4504761904827</v>
      </c>
      <c r="K25" s="144" t="s">
        <v>188</v>
      </c>
      <c r="L25" s="146" t="s">
        <v>81</v>
      </c>
    </row>
    <row r="26" spans="1:12">
      <c r="A26" s="90">
        <v>115452002</v>
      </c>
      <c r="B26" s="92"/>
      <c r="C26" s="94">
        <v>37442</v>
      </c>
      <c r="D26" s="664">
        <v>215792012</v>
      </c>
      <c r="E26" s="105" t="s">
        <v>192</v>
      </c>
      <c r="F26" s="98">
        <v>127454.78</v>
      </c>
      <c r="G26" s="100">
        <f t="shared" si="0"/>
        <v>11586.798181818182</v>
      </c>
      <c r="H26" s="101">
        <v>0.1</v>
      </c>
      <c r="I26" s="100">
        <f t="shared" si="1"/>
        <v>11586.798181818187</v>
      </c>
      <c r="J26" s="100">
        <f t="shared" si="2"/>
        <v>11586.798181818187</v>
      </c>
      <c r="K26" s="96" t="s">
        <v>79</v>
      </c>
      <c r="L26" s="107" t="s">
        <v>81</v>
      </c>
    </row>
    <row r="27" spans="1:12">
      <c r="A27" s="90">
        <v>115522002</v>
      </c>
      <c r="B27" s="150"/>
      <c r="C27" s="152">
        <v>37442</v>
      </c>
      <c r="D27" s="666" t="s">
        <v>196</v>
      </c>
      <c r="E27" s="96" t="s">
        <v>198</v>
      </c>
      <c r="F27" s="98">
        <v>100638.42</v>
      </c>
      <c r="G27" s="100">
        <f t="shared" si="0"/>
        <v>9148.9472727272714</v>
      </c>
      <c r="H27" s="101">
        <v>0.1</v>
      </c>
      <c r="I27" s="103">
        <f t="shared" si="1"/>
        <v>9148.9472727272805</v>
      </c>
      <c r="J27" s="100">
        <f t="shared" si="2"/>
        <v>9148.9472727272805</v>
      </c>
      <c r="K27" s="105" t="s">
        <v>148</v>
      </c>
      <c r="L27" s="107" t="s">
        <v>81</v>
      </c>
    </row>
    <row r="28" spans="1:12">
      <c r="A28" s="90">
        <v>120432000</v>
      </c>
      <c r="B28" s="92"/>
      <c r="C28" s="94">
        <v>36783</v>
      </c>
      <c r="D28" s="664">
        <v>203742012</v>
      </c>
      <c r="E28" s="96" t="s">
        <v>200</v>
      </c>
      <c r="F28" s="98">
        <v>61678.31</v>
      </c>
      <c r="G28" s="100">
        <f t="shared" si="0"/>
        <v>5607.119090909091</v>
      </c>
      <c r="H28" s="101">
        <v>0.1</v>
      </c>
      <c r="I28" s="100">
        <f t="shared" si="1"/>
        <v>5607.1190909090947</v>
      </c>
      <c r="J28" s="100">
        <f t="shared" si="2"/>
        <v>5607.1190909090947</v>
      </c>
      <c r="K28" s="96" t="s">
        <v>79</v>
      </c>
      <c r="L28" s="107" t="s">
        <v>81</v>
      </c>
    </row>
    <row r="29" spans="1:12">
      <c r="A29" s="90">
        <v>126812002</v>
      </c>
      <c r="B29" s="92"/>
      <c r="C29" s="94">
        <v>37463</v>
      </c>
      <c r="D29" s="664">
        <v>203522012</v>
      </c>
      <c r="E29" s="96" t="s">
        <v>203</v>
      </c>
      <c r="F29" s="98">
        <v>62897.9</v>
      </c>
      <c r="G29" s="100">
        <f t="shared" si="0"/>
        <v>5717.9909090909096</v>
      </c>
      <c r="H29" s="101">
        <v>0.1</v>
      </c>
      <c r="I29" s="103">
        <f t="shared" si="1"/>
        <v>5717.9909090909132</v>
      </c>
      <c r="J29" s="100">
        <f t="shared" si="2"/>
        <v>5717.9909090909132</v>
      </c>
      <c r="K29" s="105" t="s">
        <v>148</v>
      </c>
      <c r="L29" s="107" t="s">
        <v>81</v>
      </c>
    </row>
    <row r="30" spans="1:12">
      <c r="A30" s="5">
        <v>132132000</v>
      </c>
      <c r="B30" s="83"/>
      <c r="C30" s="9">
        <v>36808</v>
      </c>
      <c r="D30" s="660">
        <v>275862011</v>
      </c>
      <c r="E30" s="11" t="s">
        <v>204</v>
      </c>
      <c r="F30" s="13">
        <v>48936.32</v>
      </c>
      <c r="G30" s="19">
        <f t="shared" si="0"/>
        <v>4448.7563636363629</v>
      </c>
      <c r="H30" s="20">
        <v>0.1</v>
      </c>
      <c r="I30" s="19">
        <f t="shared" si="1"/>
        <v>4448.7563636363702</v>
      </c>
      <c r="J30" s="19">
        <f t="shared" si="2"/>
        <v>4448.7563636363702</v>
      </c>
      <c r="K30" s="11" t="s">
        <v>79</v>
      </c>
      <c r="L30" s="26" t="s">
        <v>81</v>
      </c>
    </row>
    <row r="31" spans="1:12">
      <c r="A31" s="27">
        <v>132132000</v>
      </c>
      <c r="B31" s="121"/>
      <c r="C31" s="29">
        <v>36808</v>
      </c>
      <c r="D31" s="661">
        <v>275842011</v>
      </c>
      <c r="E31" s="31" t="s">
        <v>205</v>
      </c>
      <c r="F31" s="33">
        <v>38176.57</v>
      </c>
      <c r="G31" s="35">
        <f t="shared" si="0"/>
        <v>3470.5972727272729</v>
      </c>
      <c r="H31" s="37">
        <v>0.1</v>
      </c>
      <c r="I31" s="35">
        <f t="shared" si="1"/>
        <v>3470.5972727272747</v>
      </c>
      <c r="J31" s="35">
        <f t="shared" si="2"/>
        <v>3470.5972727272747</v>
      </c>
      <c r="K31" s="31" t="s">
        <v>79</v>
      </c>
      <c r="L31" s="40" t="s">
        <v>81</v>
      </c>
    </row>
    <row r="32" spans="1:12">
      <c r="A32" s="27">
        <v>132132000</v>
      </c>
      <c r="B32" s="121"/>
      <c r="C32" s="29">
        <v>36808</v>
      </c>
      <c r="D32" s="661">
        <v>275792011</v>
      </c>
      <c r="E32" s="31" t="s">
        <v>206</v>
      </c>
      <c r="F32" s="33">
        <v>54408.46</v>
      </c>
      <c r="G32" s="35">
        <f t="shared" si="0"/>
        <v>4946.2236363636366</v>
      </c>
      <c r="H32" s="37">
        <v>0.1</v>
      </c>
      <c r="I32" s="35">
        <f t="shared" si="1"/>
        <v>4946.2236363636403</v>
      </c>
      <c r="J32" s="35">
        <f t="shared" si="2"/>
        <v>4946.2236363636403</v>
      </c>
      <c r="K32" s="65" t="s">
        <v>79</v>
      </c>
      <c r="L32" s="161" t="s">
        <v>81</v>
      </c>
    </row>
    <row r="33" spans="1:12">
      <c r="A33" s="163">
        <v>132132000</v>
      </c>
      <c r="B33" s="165"/>
      <c r="C33" s="166">
        <v>36808</v>
      </c>
      <c r="D33" s="667">
        <v>275832011</v>
      </c>
      <c r="E33" s="168" t="s">
        <v>208</v>
      </c>
      <c r="F33" s="170">
        <v>47757.86</v>
      </c>
      <c r="G33" s="172">
        <f t="shared" si="0"/>
        <v>4341.6236363636363</v>
      </c>
      <c r="H33" s="174">
        <v>0.1</v>
      </c>
      <c r="I33" s="172">
        <f t="shared" si="1"/>
        <v>4341.6236363636417</v>
      </c>
      <c r="J33" s="172">
        <f t="shared" si="2"/>
        <v>4341.6236363636417</v>
      </c>
      <c r="K33" s="173" t="s">
        <v>210</v>
      </c>
      <c r="L33" s="176" t="s">
        <v>81</v>
      </c>
    </row>
    <row r="34" spans="1:12">
      <c r="A34" s="90">
        <v>135872002</v>
      </c>
      <c r="B34" s="92"/>
      <c r="C34" s="94">
        <v>37480</v>
      </c>
      <c r="D34" s="664">
        <v>200882012</v>
      </c>
      <c r="E34" s="96" t="s">
        <v>211</v>
      </c>
      <c r="F34" s="98">
        <v>33675.54</v>
      </c>
      <c r="G34" s="100">
        <f t="shared" si="0"/>
        <v>2928.307826086957</v>
      </c>
      <c r="H34" s="101">
        <v>0.15</v>
      </c>
      <c r="I34" s="103">
        <f t="shared" si="1"/>
        <v>4392.4617391304309</v>
      </c>
      <c r="J34" s="100">
        <f t="shared" si="2"/>
        <v>2811.1755130434758</v>
      </c>
      <c r="K34" s="105" t="s">
        <v>166</v>
      </c>
      <c r="L34" s="107" t="s">
        <v>81</v>
      </c>
    </row>
    <row r="35" spans="1:12">
      <c r="A35" s="135">
        <v>136192002</v>
      </c>
      <c r="B35" s="136"/>
      <c r="C35" s="137">
        <v>37481</v>
      </c>
      <c r="D35" s="665">
        <v>23802012</v>
      </c>
      <c r="E35" s="138" t="s">
        <v>213</v>
      </c>
      <c r="F35" s="180">
        <v>70536.05</v>
      </c>
      <c r="G35" s="140">
        <f t="shared" si="0"/>
        <v>7053.6050000000005</v>
      </c>
      <c r="H35" s="141">
        <v>0</v>
      </c>
      <c r="I35" s="182">
        <f t="shared" si="1"/>
        <v>0</v>
      </c>
      <c r="J35" s="140">
        <f t="shared" si="2"/>
        <v>0</v>
      </c>
      <c r="K35" s="144" t="s">
        <v>218</v>
      </c>
      <c r="L35" s="146" t="s">
        <v>81</v>
      </c>
    </row>
    <row r="36" spans="1:12">
      <c r="A36" s="90">
        <v>138652002</v>
      </c>
      <c r="B36" s="92"/>
      <c r="C36" s="94">
        <v>37484</v>
      </c>
      <c r="D36" s="664">
        <v>200602012</v>
      </c>
      <c r="E36" s="96" t="s">
        <v>219</v>
      </c>
      <c r="F36" s="98">
        <v>85048.76</v>
      </c>
      <c r="G36" s="100">
        <f t="shared" si="0"/>
        <v>8504.8760000000002</v>
      </c>
      <c r="H36" s="101">
        <v>0</v>
      </c>
      <c r="I36" s="103">
        <f t="shared" si="1"/>
        <v>0</v>
      </c>
      <c r="J36" s="100">
        <f t="shared" si="2"/>
        <v>0</v>
      </c>
      <c r="K36" s="105" t="s">
        <v>221</v>
      </c>
      <c r="L36" s="107" t="s">
        <v>81</v>
      </c>
    </row>
    <row r="37" spans="1:12">
      <c r="A37" s="90">
        <v>138672002</v>
      </c>
      <c r="B37" s="92"/>
      <c r="C37" s="94">
        <v>37484</v>
      </c>
      <c r="D37" s="664">
        <v>189102012</v>
      </c>
      <c r="E37" s="96" t="s">
        <v>222</v>
      </c>
      <c r="F37" s="109">
        <v>176081.51</v>
      </c>
      <c r="G37" s="100">
        <f t="shared" si="0"/>
        <v>16007.410000000002</v>
      </c>
      <c r="H37" s="101">
        <v>0.1</v>
      </c>
      <c r="I37" s="103">
        <f t="shared" si="1"/>
        <v>16007.410000000003</v>
      </c>
      <c r="J37" s="100">
        <f t="shared" si="2"/>
        <v>10244.742400000003</v>
      </c>
      <c r="K37" s="105" t="s">
        <v>148</v>
      </c>
      <c r="L37" s="107" t="s">
        <v>81</v>
      </c>
    </row>
    <row r="38" spans="1:12">
      <c r="A38" s="90">
        <v>150802002</v>
      </c>
      <c r="B38" s="92"/>
      <c r="C38" s="94">
        <v>37505</v>
      </c>
      <c r="D38" s="664">
        <v>25512012</v>
      </c>
      <c r="E38" s="96" t="s">
        <v>224</v>
      </c>
      <c r="F38" s="109">
        <v>37514.39</v>
      </c>
      <c r="G38" s="100">
        <f t="shared" si="0"/>
        <v>3410.3990909090908</v>
      </c>
      <c r="H38" s="101">
        <v>0.1</v>
      </c>
      <c r="I38" s="100">
        <f t="shared" si="1"/>
        <v>3410.3990909090935</v>
      </c>
      <c r="J38" s="100">
        <f t="shared" si="2"/>
        <v>2182.6554181818201</v>
      </c>
      <c r="K38" s="96" t="s">
        <v>79</v>
      </c>
      <c r="L38" s="107" t="s">
        <v>81</v>
      </c>
    </row>
    <row r="39" spans="1:12">
      <c r="A39" s="187">
        <v>166642002</v>
      </c>
      <c r="B39" s="189"/>
      <c r="C39" s="191">
        <v>37531</v>
      </c>
      <c r="D39" s="668">
        <v>354042011</v>
      </c>
      <c r="E39" s="195" t="s">
        <v>227</v>
      </c>
      <c r="F39" s="197">
        <v>56748.62</v>
      </c>
      <c r="G39" s="199">
        <f t="shared" si="0"/>
        <v>5674.862000000001</v>
      </c>
      <c r="H39" s="200">
        <v>0</v>
      </c>
      <c r="I39" s="203">
        <f t="shared" si="1"/>
        <v>0</v>
      </c>
      <c r="J39" s="199">
        <f t="shared" si="2"/>
        <v>0</v>
      </c>
      <c r="K39" s="193" t="s">
        <v>229</v>
      </c>
      <c r="L39" s="205" t="s">
        <v>81</v>
      </c>
    </row>
    <row r="40" spans="1:12">
      <c r="A40" s="163">
        <v>166642002</v>
      </c>
      <c r="B40" s="165"/>
      <c r="C40" s="166">
        <v>37531</v>
      </c>
      <c r="D40" s="667">
        <v>354052011</v>
      </c>
      <c r="E40" s="168" t="s">
        <v>159</v>
      </c>
      <c r="F40" s="207">
        <v>5674.86</v>
      </c>
      <c r="G40" s="209">
        <f t="shared" si="0"/>
        <v>515.89636363636362</v>
      </c>
      <c r="H40" s="174">
        <v>0.1</v>
      </c>
      <c r="I40" s="172">
        <f t="shared" si="1"/>
        <v>515.89636363636419</v>
      </c>
      <c r="J40" s="172">
        <f t="shared" si="2"/>
        <v>330.17367272727307</v>
      </c>
      <c r="K40" s="168" t="s">
        <v>229</v>
      </c>
      <c r="L40" s="176" t="s">
        <v>81</v>
      </c>
    </row>
    <row r="41" spans="1:12">
      <c r="A41" s="5">
        <v>185982008</v>
      </c>
      <c r="B41" s="83"/>
      <c r="C41" s="9">
        <v>39645</v>
      </c>
      <c r="D41" s="660">
        <v>203552012</v>
      </c>
      <c r="E41" s="11" t="s">
        <v>231</v>
      </c>
      <c r="F41" s="13">
        <v>110644.18</v>
      </c>
      <c r="G41" s="19">
        <f t="shared" si="0"/>
        <v>10058.561818181817</v>
      </c>
      <c r="H41" s="20">
        <v>0.1</v>
      </c>
      <c r="I41" s="19">
        <f t="shared" si="1"/>
        <v>10058.561818181828</v>
      </c>
      <c r="J41" s="19">
        <f t="shared" si="2"/>
        <v>6618.5336763636433</v>
      </c>
      <c r="K41" s="11" t="s">
        <v>79</v>
      </c>
      <c r="L41" s="26" t="s">
        <v>81</v>
      </c>
    </row>
    <row r="42" spans="1:12">
      <c r="A42" s="27">
        <v>185982008</v>
      </c>
      <c r="B42" s="121"/>
      <c r="C42" s="29">
        <v>39645</v>
      </c>
      <c r="D42" s="661">
        <v>203632012</v>
      </c>
      <c r="E42" s="31" t="s">
        <v>232</v>
      </c>
      <c r="F42" s="33">
        <v>105541.67</v>
      </c>
      <c r="G42" s="35">
        <f t="shared" si="0"/>
        <v>9594.6972727272714</v>
      </c>
      <c r="H42" s="37">
        <v>0.1</v>
      </c>
      <c r="I42" s="35">
        <f t="shared" si="1"/>
        <v>9594.6972727272805</v>
      </c>
      <c r="J42" s="35">
        <f t="shared" si="2"/>
        <v>6313.310805454551</v>
      </c>
      <c r="K42" s="31" t="s">
        <v>79</v>
      </c>
      <c r="L42" s="40" t="s">
        <v>81</v>
      </c>
    </row>
    <row r="43" spans="1:12">
      <c r="A43" s="27">
        <v>185982008</v>
      </c>
      <c r="B43" s="121"/>
      <c r="C43" s="29">
        <v>39645</v>
      </c>
      <c r="D43" s="661">
        <v>203532012</v>
      </c>
      <c r="E43" s="31" t="s">
        <v>233</v>
      </c>
      <c r="F43" s="33">
        <v>103589.66</v>
      </c>
      <c r="G43" s="35">
        <f t="shared" si="0"/>
        <v>9417.2418181818193</v>
      </c>
      <c r="H43" s="37">
        <v>0.1</v>
      </c>
      <c r="I43" s="35">
        <f t="shared" si="1"/>
        <v>9417.2418181818211</v>
      </c>
      <c r="J43" s="35">
        <f t="shared" si="2"/>
        <v>6196.545116363639</v>
      </c>
      <c r="K43" s="65" t="s">
        <v>148</v>
      </c>
      <c r="L43" s="40" t="s">
        <v>81</v>
      </c>
    </row>
    <row r="44" spans="1:12">
      <c r="A44" s="27">
        <v>185982008</v>
      </c>
      <c r="B44" s="121"/>
      <c r="C44" s="29">
        <v>39645</v>
      </c>
      <c r="D44" s="661">
        <v>203622012</v>
      </c>
      <c r="E44" s="31" t="s">
        <v>234</v>
      </c>
      <c r="F44" s="33">
        <v>101313.07</v>
      </c>
      <c r="G44" s="35">
        <f t="shared" si="0"/>
        <v>9210.2790909090909</v>
      </c>
      <c r="H44" s="37">
        <v>0.1</v>
      </c>
      <c r="I44" s="35">
        <f t="shared" si="1"/>
        <v>9210.2790909090982</v>
      </c>
      <c r="J44" s="35">
        <f t="shared" si="2"/>
        <v>6060.3636418181868</v>
      </c>
      <c r="K44" s="65" t="s">
        <v>236</v>
      </c>
      <c r="L44" s="40" t="s">
        <v>81</v>
      </c>
    </row>
    <row r="45" spans="1:12">
      <c r="A45" s="42">
        <v>185982008</v>
      </c>
      <c r="B45" s="86"/>
      <c r="C45" s="46">
        <v>39645</v>
      </c>
      <c r="D45" s="662">
        <v>203592012</v>
      </c>
      <c r="E45" s="48" t="s">
        <v>238</v>
      </c>
      <c r="F45" s="50">
        <v>99696.72</v>
      </c>
      <c r="G45" s="52">
        <f t="shared" si="0"/>
        <v>9063.3381818181806</v>
      </c>
      <c r="H45" s="55">
        <v>0.1</v>
      </c>
      <c r="I45" s="52">
        <f t="shared" si="1"/>
        <v>9063.3381818181952</v>
      </c>
      <c r="J45" s="52">
        <f t="shared" si="2"/>
        <v>5963.6765236363726</v>
      </c>
      <c r="K45" s="48" t="s">
        <v>79</v>
      </c>
      <c r="L45" s="60" t="s">
        <v>81</v>
      </c>
    </row>
    <row r="46" spans="1:12">
      <c r="A46" s="5">
        <v>194762008</v>
      </c>
      <c r="B46" s="83"/>
      <c r="C46" s="9">
        <v>39652</v>
      </c>
      <c r="D46" s="660">
        <v>213632012</v>
      </c>
      <c r="E46" s="11" t="s">
        <v>241</v>
      </c>
      <c r="F46" s="13">
        <v>139329.67000000001</v>
      </c>
      <c r="G46" s="19">
        <f t="shared" si="0"/>
        <v>12666.333636363637</v>
      </c>
      <c r="H46" s="20">
        <v>0.1</v>
      </c>
      <c r="I46" s="19">
        <f t="shared" si="1"/>
        <v>12666.333636363648</v>
      </c>
      <c r="J46" s="19">
        <f t="shared" si="2"/>
        <v>8334.4475327272812</v>
      </c>
      <c r="K46" s="11" t="s">
        <v>79</v>
      </c>
      <c r="L46" s="26" t="s">
        <v>81</v>
      </c>
    </row>
    <row r="47" spans="1:12">
      <c r="A47" s="27">
        <v>194762008</v>
      </c>
      <c r="B47" s="121"/>
      <c r="C47" s="29">
        <v>39652</v>
      </c>
      <c r="D47" s="661">
        <v>213682012</v>
      </c>
      <c r="E47" s="31" t="s">
        <v>243</v>
      </c>
      <c r="F47" s="33">
        <v>140301.42000000001</v>
      </c>
      <c r="G47" s="35">
        <f t="shared" si="0"/>
        <v>12754.674545454545</v>
      </c>
      <c r="H47" s="37">
        <v>0.1</v>
      </c>
      <c r="I47" s="35">
        <f t="shared" si="1"/>
        <v>12754.67454545456</v>
      </c>
      <c r="J47" s="35">
        <f t="shared" si="2"/>
        <v>8392.5758509091011</v>
      </c>
      <c r="K47" s="65" t="s">
        <v>148</v>
      </c>
      <c r="L47" s="40" t="s">
        <v>81</v>
      </c>
    </row>
    <row r="48" spans="1:12">
      <c r="A48" s="27">
        <v>194762008</v>
      </c>
      <c r="B48" s="121"/>
      <c r="C48" s="29">
        <v>39652</v>
      </c>
      <c r="D48" s="661">
        <v>213612012</v>
      </c>
      <c r="E48" s="31" t="s">
        <v>244</v>
      </c>
      <c r="F48" s="33">
        <v>131968.54999999999</v>
      </c>
      <c r="G48" s="35">
        <f t="shared" si="0"/>
        <v>11997.140909090907</v>
      </c>
      <c r="H48" s="37">
        <v>0.1</v>
      </c>
      <c r="I48" s="35">
        <f t="shared" si="1"/>
        <v>11997.140909090915</v>
      </c>
      <c r="J48" s="35">
        <f t="shared" si="2"/>
        <v>7894.1187181818223</v>
      </c>
      <c r="K48" s="65" t="s">
        <v>148</v>
      </c>
      <c r="L48" s="40" t="s">
        <v>81</v>
      </c>
    </row>
    <row r="49" spans="1:12">
      <c r="A49" s="27">
        <v>194762008</v>
      </c>
      <c r="B49" s="121"/>
      <c r="C49" s="29">
        <v>39652</v>
      </c>
      <c r="D49" s="661">
        <v>213662012</v>
      </c>
      <c r="E49" s="31" t="s">
        <v>245</v>
      </c>
      <c r="F49" s="33">
        <v>126238.7</v>
      </c>
      <c r="G49" s="35">
        <f t="shared" si="0"/>
        <v>11476.245454545453</v>
      </c>
      <c r="H49" s="37">
        <v>0.1</v>
      </c>
      <c r="I49" s="35">
        <f t="shared" si="1"/>
        <v>11476.245454545468</v>
      </c>
      <c r="J49" s="35">
        <f t="shared" si="2"/>
        <v>7551.3695090909177</v>
      </c>
      <c r="K49" s="65" t="s">
        <v>148</v>
      </c>
      <c r="L49" s="161" t="s">
        <v>81</v>
      </c>
    </row>
    <row r="50" spans="1:12">
      <c r="A50" s="42">
        <v>194762008</v>
      </c>
      <c r="B50" s="86"/>
      <c r="C50" s="46">
        <v>39652</v>
      </c>
      <c r="D50" s="662">
        <v>213722012</v>
      </c>
      <c r="E50" s="48" t="s">
        <v>247</v>
      </c>
      <c r="F50" s="50">
        <v>106407.5</v>
      </c>
      <c r="G50" s="52">
        <f t="shared" si="0"/>
        <v>9673.4090909090901</v>
      </c>
      <c r="H50" s="55">
        <v>0.1</v>
      </c>
      <c r="I50" s="52">
        <f t="shared" si="1"/>
        <v>9673.4090909091028</v>
      </c>
      <c r="J50" s="52">
        <f t="shared" si="2"/>
        <v>6365.10318181819</v>
      </c>
      <c r="K50" s="58" t="s">
        <v>148</v>
      </c>
      <c r="L50" s="60" t="s">
        <v>81</v>
      </c>
    </row>
    <row r="51" spans="1:12">
      <c r="A51" s="90">
        <v>200392008</v>
      </c>
      <c r="B51" s="92"/>
      <c r="C51" s="94">
        <v>39660</v>
      </c>
      <c r="D51" s="664">
        <v>209152012</v>
      </c>
      <c r="E51" s="96" t="s">
        <v>249</v>
      </c>
      <c r="F51" s="98">
        <v>29394.34</v>
      </c>
      <c r="G51" s="100">
        <f t="shared" si="0"/>
        <v>2672.2127272727271</v>
      </c>
      <c r="H51" s="101">
        <v>0.1</v>
      </c>
      <c r="I51" s="103">
        <f t="shared" si="1"/>
        <v>2672.2127272727303</v>
      </c>
      <c r="J51" s="100">
        <f t="shared" si="2"/>
        <v>1758.3159745454566</v>
      </c>
      <c r="K51" s="105" t="s">
        <v>166</v>
      </c>
      <c r="L51" s="107" t="s">
        <v>81</v>
      </c>
    </row>
    <row r="52" spans="1:12">
      <c r="A52" s="230"/>
      <c r="B52" s="230"/>
      <c r="C52" s="230"/>
      <c r="D52" s="230"/>
      <c r="E52" s="230"/>
      <c r="F52" s="232"/>
      <c r="G52" s="234">
        <f t="shared" si="0"/>
        <v>0</v>
      </c>
      <c r="H52" s="236"/>
      <c r="I52" s="238">
        <f t="shared" si="1"/>
        <v>0</v>
      </c>
      <c r="J52" s="238">
        <f t="shared" si="2"/>
        <v>0</v>
      </c>
      <c r="K52" s="230"/>
      <c r="L52" s="240"/>
    </row>
    <row r="53" spans="1:12">
      <c r="A53" s="651" t="s">
        <v>176</v>
      </c>
      <c r="B53" s="652"/>
      <c r="C53" s="652"/>
      <c r="D53" s="652"/>
      <c r="E53" s="653"/>
      <c r="F53" s="244">
        <f t="shared" ref="F53:G53" si="3">SUM(F3:F52)</f>
        <v>4133657.6399999992</v>
      </c>
      <c r="G53" s="244">
        <f t="shared" si="3"/>
        <v>377947.03214605688</v>
      </c>
      <c r="H53" s="246"/>
      <c r="I53" s="244">
        <f t="shared" ref="I53:J53" si="4">SUM(I3:I52)</f>
        <v>354187.31853943184</v>
      </c>
      <c r="J53" s="244">
        <f t="shared" si="4"/>
        <v>262145.61857698119</v>
      </c>
      <c r="K53" s="249"/>
      <c r="L53" s="251"/>
    </row>
  </sheetData>
  <autoFilter ref="A2:K2"/>
  <mergeCells count="2">
    <mergeCell ref="A53:E53"/>
    <mergeCell ref="A1:L1"/>
  </mergeCells>
  <dataValidations count="1">
    <dataValidation type="list" allowBlank="1" sqref="B3:B52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workbookViewId="0">
      <pane ySplit="2" topLeftCell="A3" activePane="bottomLeft" state="frozen"/>
      <selection pane="bottomLeft" activeCell="B4" sqref="B4"/>
    </sheetView>
  </sheetViews>
  <sheetFormatPr defaultColWidth="15.140625" defaultRowHeight="15" customHeight="1"/>
  <cols>
    <col min="1" max="2" width="12.85546875" customWidth="1"/>
    <col min="3" max="3" width="10.140625" customWidth="1"/>
    <col min="4" max="4" width="9.85546875" customWidth="1"/>
    <col min="5" max="5" width="32" customWidth="1"/>
    <col min="6" max="6" width="11.42578125" customWidth="1"/>
    <col min="7" max="7" width="10.7109375" customWidth="1"/>
    <col min="8" max="8" width="7.42578125" customWidth="1"/>
    <col min="9" max="9" width="10.7109375" customWidth="1"/>
    <col min="10" max="10" width="9.5703125" customWidth="1"/>
    <col min="11" max="11" width="34.42578125" customWidth="1"/>
    <col min="12" max="12" width="6.42578125" customWidth="1"/>
    <col min="13" max="13" width="4.42578125" customWidth="1"/>
  </cols>
  <sheetData>
    <row r="1" spans="1:13">
      <c r="A1" s="654" t="s">
        <v>121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3"/>
    </row>
    <row r="2" spans="1:13">
      <c r="A2" s="53" t="s">
        <v>3</v>
      </c>
      <c r="B2" s="54" t="s">
        <v>6</v>
      </c>
      <c r="C2" s="56" t="s">
        <v>8</v>
      </c>
      <c r="D2" s="57" t="s">
        <v>9</v>
      </c>
      <c r="E2" s="1" t="s">
        <v>10</v>
      </c>
      <c r="F2" s="1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1" t="s">
        <v>134</v>
      </c>
      <c r="L2" s="3" t="s">
        <v>135</v>
      </c>
      <c r="M2" s="3" t="s">
        <v>17</v>
      </c>
    </row>
    <row r="3" spans="1:13">
      <c r="A3" s="59">
        <v>2592005</v>
      </c>
      <c r="B3" s="61"/>
      <c r="C3" s="61">
        <v>38357</v>
      </c>
      <c r="D3" s="62">
        <v>371702012</v>
      </c>
      <c r="E3" s="11" t="s">
        <v>141</v>
      </c>
      <c r="F3" s="63">
        <v>137412.67000000001</v>
      </c>
      <c r="G3" s="64">
        <f t="shared" ref="G3:G164" si="0">IF(H3=0,F3*0.1,IF(OR(B3="Descompressão",B3="MS 207002004"),(F3-I3)*0.05,(F3-I3)*0.1))</f>
        <v>13086.920952380955</v>
      </c>
      <c r="H3" s="20">
        <v>0.05</v>
      </c>
      <c r="I3" s="64">
        <f t="shared" ref="I3:I164" si="1">IF(H3=100%,F3,IF(H3=0,0,(F3-(F3/(1+H3)))))</f>
        <v>6543.4604761904775</v>
      </c>
      <c r="J3" s="64">
        <f t="shared" ref="J3:J164" si="2">IF(OR($C3&lt;DATE(2002,7,30),$C3&gt;DATE(2012,1,3)),$I3,IF(AND($C3&gt;DATE(2002,7,29),$C3&lt;DATE(2004,3,1)),$I3*0.64,IF(AND($C3&gt;DATE(2004,2,28),$C3&lt;DATE(2012,1,4)),$I3*0.658)))</f>
        <v>4305.5969933333345</v>
      </c>
      <c r="K3" s="11" t="s">
        <v>79</v>
      </c>
      <c r="L3" s="67"/>
      <c r="M3" s="26" t="s">
        <v>81</v>
      </c>
    </row>
    <row r="4" spans="1:13">
      <c r="A4" s="69">
        <v>2592005</v>
      </c>
      <c r="B4" s="71"/>
      <c r="C4" s="71">
        <v>38357</v>
      </c>
      <c r="D4" s="73">
        <v>371652012</v>
      </c>
      <c r="E4" s="31" t="s">
        <v>158</v>
      </c>
      <c r="F4" s="75">
        <v>134893.95000000001</v>
      </c>
      <c r="G4" s="85">
        <f t="shared" si="0"/>
        <v>12847.042857142858</v>
      </c>
      <c r="H4" s="37">
        <v>0.05</v>
      </c>
      <c r="I4" s="85">
        <f t="shared" si="1"/>
        <v>6423.5214285714319</v>
      </c>
      <c r="J4" s="89">
        <f t="shared" si="2"/>
        <v>4226.6771000000026</v>
      </c>
      <c r="K4" s="65" t="s">
        <v>148</v>
      </c>
      <c r="L4" s="91"/>
      <c r="M4" s="40" t="s">
        <v>81</v>
      </c>
    </row>
    <row r="5" spans="1:13">
      <c r="A5" s="93">
        <v>2592005</v>
      </c>
      <c r="B5" s="95"/>
      <c r="C5" s="95">
        <v>38357</v>
      </c>
      <c r="D5" s="97">
        <v>371632012</v>
      </c>
      <c r="E5" s="48" t="s">
        <v>165</v>
      </c>
      <c r="F5" s="88">
        <v>138137.64000000001</v>
      </c>
      <c r="G5" s="99">
        <f t="shared" si="0"/>
        <v>13155.965714285716</v>
      </c>
      <c r="H5" s="55">
        <v>0.05</v>
      </c>
      <c r="I5" s="99">
        <f t="shared" si="1"/>
        <v>6577.9828571428661</v>
      </c>
      <c r="J5" s="102">
        <f t="shared" si="2"/>
        <v>4328.3127200000063</v>
      </c>
      <c r="K5" s="58" t="s">
        <v>148</v>
      </c>
      <c r="L5" s="104"/>
      <c r="M5" s="60" t="s">
        <v>81</v>
      </c>
    </row>
    <row r="6" spans="1:13">
      <c r="A6" s="59">
        <v>2692005</v>
      </c>
      <c r="B6" s="106"/>
      <c r="C6" s="106">
        <v>38357</v>
      </c>
      <c r="D6" s="108">
        <v>283992013</v>
      </c>
      <c r="E6" s="110" t="s">
        <v>168</v>
      </c>
      <c r="F6" s="111">
        <v>124504.77</v>
      </c>
      <c r="G6" s="64">
        <f t="shared" si="0"/>
        <v>11318.615454545456</v>
      </c>
      <c r="H6" s="20">
        <v>0.1</v>
      </c>
      <c r="I6" s="64">
        <f t="shared" si="1"/>
        <v>11318.615454545463</v>
      </c>
      <c r="J6" s="64">
        <f t="shared" si="2"/>
        <v>7447.6489690909148</v>
      </c>
      <c r="K6" s="11" t="s">
        <v>79</v>
      </c>
      <c r="L6" s="67"/>
      <c r="M6" s="26" t="s">
        <v>81</v>
      </c>
    </row>
    <row r="7" spans="1:13">
      <c r="A7" s="69">
        <v>2692005</v>
      </c>
      <c r="B7" s="114"/>
      <c r="C7" s="114">
        <v>38357</v>
      </c>
      <c r="D7" s="116">
        <v>283962013</v>
      </c>
      <c r="E7" s="118" t="s">
        <v>170</v>
      </c>
      <c r="F7" s="120">
        <v>112509.95</v>
      </c>
      <c r="G7" s="85">
        <f t="shared" si="0"/>
        <v>10228.177272727273</v>
      </c>
      <c r="H7" s="37">
        <v>0.1</v>
      </c>
      <c r="I7" s="85">
        <f t="shared" si="1"/>
        <v>10228.177272727276</v>
      </c>
      <c r="J7" s="89">
        <f t="shared" si="2"/>
        <v>6730.1406454545486</v>
      </c>
      <c r="K7" s="65" t="s">
        <v>148</v>
      </c>
      <c r="L7" s="91"/>
      <c r="M7" s="40" t="s">
        <v>81</v>
      </c>
    </row>
    <row r="8" spans="1:13">
      <c r="A8" s="93">
        <v>2692005</v>
      </c>
      <c r="B8" s="122"/>
      <c r="C8" s="122">
        <v>38357</v>
      </c>
      <c r="D8" s="124">
        <v>282742013</v>
      </c>
      <c r="E8" s="48" t="s">
        <v>174</v>
      </c>
      <c r="F8" s="88">
        <v>91314.91</v>
      </c>
      <c r="G8" s="99">
        <f t="shared" si="0"/>
        <v>8301.3554545454535</v>
      </c>
      <c r="H8" s="55">
        <v>0.1</v>
      </c>
      <c r="I8" s="99">
        <f t="shared" si="1"/>
        <v>8301.3554545454681</v>
      </c>
      <c r="J8" s="99">
        <f t="shared" si="2"/>
        <v>5462.2918890909186</v>
      </c>
      <c r="K8" s="48" t="s">
        <v>79</v>
      </c>
      <c r="L8" s="104"/>
      <c r="M8" s="60" t="s">
        <v>81</v>
      </c>
    </row>
    <row r="9" spans="1:13">
      <c r="A9" s="59">
        <v>2712005</v>
      </c>
      <c r="B9" s="106"/>
      <c r="C9" s="106">
        <v>38357</v>
      </c>
      <c r="D9" s="108">
        <v>277302013</v>
      </c>
      <c r="E9" s="110" t="s">
        <v>177</v>
      </c>
      <c r="F9" s="111">
        <v>76811.460000000006</v>
      </c>
      <c r="G9" s="64">
        <f t="shared" si="0"/>
        <v>6982.8600000000006</v>
      </c>
      <c r="H9" s="20">
        <v>0.1</v>
      </c>
      <c r="I9" s="64">
        <f t="shared" si="1"/>
        <v>6982.8600000000006</v>
      </c>
      <c r="J9" s="127">
        <f t="shared" si="2"/>
        <v>4594.721880000001</v>
      </c>
      <c r="K9" s="68" t="s">
        <v>148</v>
      </c>
      <c r="L9" s="67"/>
      <c r="M9" s="26" t="s">
        <v>81</v>
      </c>
    </row>
    <row r="10" spans="1:13">
      <c r="A10" s="69">
        <v>2712005</v>
      </c>
      <c r="B10" s="114"/>
      <c r="C10" s="114">
        <v>38357</v>
      </c>
      <c r="D10" s="116">
        <v>277292013</v>
      </c>
      <c r="E10" s="129" t="s">
        <v>180</v>
      </c>
      <c r="F10" s="120">
        <v>86405.19</v>
      </c>
      <c r="G10" s="85">
        <f t="shared" si="0"/>
        <v>7855.0172727272729</v>
      </c>
      <c r="H10" s="37">
        <v>0.1</v>
      </c>
      <c r="I10" s="85">
        <f t="shared" si="1"/>
        <v>7855.0172727272729</v>
      </c>
      <c r="J10" s="85">
        <f t="shared" si="2"/>
        <v>5168.6013654545459</v>
      </c>
      <c r="K10" s="31" t="s">
        <v>79</v>
      </c>
      <c r="L10" s="91"/>
      <c r="M10" s="40" t="s">
        <v>81</v>
      </c>
    </row>
    <row r="11" spans="1:13">
      <c r="A11" s="93">
        <v>2712005</v>
      </c>
      <c r="B11" s="131"/>
      <c r="C11" s="131">
        <v>38357</v>
      </c>
      <c r="D11" s="132">
        <v>277252013</v>
      </c>
      <c r="E11" s="133" t="s">
        <v>183</v>
      </c>
      <c r="F11" s="134">
        <v>86918.96</v>
      </c>
      <c r="G11" s="99">
        <f t="shared" si="0"/>
        <v>7901.7236363636366</v>
      </c>
      <c r="H11" s="55">
        <v>0.1</v>
      </c>
      <c r="I11" s="99">
        <f t="shared" si="1"/>
        <v>7901.7236363636475</v>
      </c>
      <c r="J11" s="99">
        <f t="shared" si="2"/>
        <v>5199.3341527272805</v>
      </c>
      <c r="K11" s="48" t="s">
        <v>79</v>
      </c>
      <c r="L11" s="104"/>
      <c r="M11" s="60" t="s">
        <v>81</v>
      </c>
    </row>
    <row r="12" spans="1:13">
      <c r="A12" s="59">
        <v>3592002</v>
      </c>
      <c r="B12" s="61"/>
      <c r="C12" s="61">
        <v>37266</v>
      </c>
      <c r="D12" s="62">
        <v>73792013</v>
      </c>
      <c r="E12" s="11" t="s">
        <v>186</v>
      </c>
      <c r="F12" s="63">
        <v>70089.990000000005</v>
      </c>
      <c r="G12" s="64">
        <f t="shared" si="0"/>
        <v>6371.8172727272731</v>
      </c>
      <c r="H12" s="20">
        <v>0.1</v>
      </c>
      <c r="I12" s="64">
        <f t="shared" si="1"/>
        <v>6371.8172727272758</v>
      </c>
      <c r="J12" s="64">
        <f t="shared" si="2"/>
        <v>6371.8172727272758</v>
      </c>
      <c r="K12" s="11" t="s">
        <v>79</v>
      </c>
      <c r="L12" s="67"/>
      <c r="M12" s="26" t="s">
        <v>81</v>
      </c>
    </row>
    <row r="13" spans="1:13">
      <c r="A13" s="69">
        <v>3592002</v>
      </c>
      <c r="B13" s="71"/>
      <c r="C13" s="71">
        <v>37266</v>
      </c>
      <c r="D13" s="73">
        <v>73712013</v>
      </c>
      <c r="E13" s="31" t="s">
        <v>189</v>
      </c>
      <c r="F13" s="75">
        <v>63056.19</v>
      </c>
      <c r="G13" s="85">
        <f t="shared" si="0"/>
        <v>5732.380909090909</v>
      </c>
      <c r="H13" s="37">
        <v>0.1</v>
      </c>
      <c r="I13" s="85">
        <f t="shared" si="1"/>
        <v>5732.3809090909126</v>
      </c>
      <c r="J13" s="89">
        <f t="shared" si="2"/>
        <v>5732.3809090909126</v>
      </c>
      <c r="K13" s="65" t="s">
        <v>148</v>
      </c>
      <c r="L13" s="91"/>
      <c r="M13" s="40" t="s">
        <v>81</v>
      </c>
    </row>
    <row r="14" spans="1:13">
      <c r="A14" s="69">
        <v>3592002</v>
      </c>
      <c r="B14" s="71"/>
      <c r="C14" s="71">
        <v>37266</v>
      </c>
      <c r="D14" s="73">
        <v>73742013</v>
      </c>
      <c r="E14" s="31" t="s">
        <v>190</v>
      </c>
      <c r="F14" s="75">
        <v>63592.08</v>
      </c>
      <c r="G14" s="85">
        <f t="shared" si="0"/>
        <v>5781.0981818181817</v>
      </c>
      <c r="H14" s="37">
        <v>0.1</v>
      </c>
      <c r="I14" s="85">
        <f t="shared" si="1"/>
        <v>5781.0981818181899</v>
      </c>
      <c r="J14" s="89">
        <f t="shared" si="2"/>
        <v>5781.0981818181899</v>
      </c>
      <c r="K14" s="65" t="s">
        <v>148</v>
      </c>
      <c r="L14" s="91"/>
      <c r="M14" s="40" t="s">
        <v>81</v>
      </c>
    </row>
    <row r="15" spans="1:13">
      <c r="A15" s="69">
        <v>3592002</v>
      </c>
      <c r="B15" s="71"/>
      <c r="C15" s="71">
        <v>37266</v>
      </c>
      <c r="D15" s="73">
        <v>73812013</v>
      </c>
      <c r="E15" s="31" t="s">
        <v>191</v>
      </c>
      <c r="F15" s="75">
        <v>44651.15</v>
      </c>
      <c r="G15" s="85">
        <f t="shared" si="0"/>
        <v>4059.1954545454546</v>
      </c>
      <c r="H15" s="37">
        <v>0.1</v>
      </c>
      <c r="I15" s="85">
        <f t="shared" si="1"/>
        <v>4059.1954545454573</v>
      </c>
      <c r="J15" s="85">
        <f t="shared" si="2"/>
        <v>4059.1954545454573</v>
      </c>
      <c r="K15" s="31" t="s">
        <v>79</v>
      </c>
      <c r="L15" s="91"/>
      <c r="M15" s="40" t="s">
        <v>81</v>
      </c>
    </row>
    <row r="16" spans="1:13">
      <c r="A16" s="93">
        <v>3592002</v>
      </c>
      <c r="B16" s="95"/>
      <c r="C16" s="95">
        <v>37266</v>
      </c>
      <c r="D16" s="97">
        <v>73842013</v>
      </c>
      <c r="E16" s="48" t="s">
        <v>193</v>
      </c>
      <c r="F16" s="88">
        <v>72547.3</v>
      </c>
      <c r="G16" s="99">
        <f t="shared" si="0"/>
        <v>6595.2090909090912</v>
      </c>
      <c r="H16" s="55">
        <v>0.1</v>
      </c>
      <c r="I16" s="99">
        <f t="shared" si="1"/>
        <v>6595.2090909090912</v>
      </c>
      <c r="J16" s="102">
        <f t="shared" si="2"/>
        <v>6595.2090909090912</v>
      </c>
      <c r="K16" s="58" t="s">
        <v>148</v>
      </c>
      <c r="L16" s="104"/>
      <c r="M16" s="60" t="s">
        <v>81</v>
      </c>
    </row>
    <row r="17" spans="1:13">
      <c r="A17" s="59">
        <v>4612002</v>
      </c>
      <c r="B17" s="106"/>
      <c r="C17" s="106">
        <v>37271</v>
      </c>
      <c r="D17" s="108">
        <v>268952013</v>
      </c>
      <c r="E17" s="110" t="s">
        <v>194</v>
      </c>
      <c r="F17" s="111">
        <v>105462.75</v>
      </c>
      <c r="G17" s="64">
        <f t="shared" si="0"/>
        <v>9587.5227272727261</v>
      </c>
      <c r="H17" s="20">
        <v>0.1</v>
      </c>
      <c r="I17" s="64">
        <f t="shared" si="1"/>
        <v>9587.5227272727352</v>
      </c>
      <c r="J17" s="127">
        <f t="shared" si="2"/>
        <v>9587.5227272727352</v>
      </c>
      <c r="K17" s="68" t="s">
        <v>148</v>
      </c>
      <c r="L17" s="67"/>
      <c r="M17" s="26" t="s">
        <v>81</v>
      </c>
    </row>
    <row r="18" spans="1:13">
      <c r="A18" s="69">
        <v>4612002</v>
      </c>
      <c r="B18" s="114"/>
      <c r="C18" s="114">
        <v>37271</v>
      </c>
      <c r="D18" s="116">
        <v>268892013</v>
      </c>
      <c r="E18" s="118" t="s">
        <v>197</v>
      </c>
      <c r="F18" s="120">
        <v>74210.58</v>
      </c>
      <c r="G18" s="85">
        <f t="shared" si="0"/>
        <v>6746.4163636363637</v>
      </c>
      <c r="H18" s="37">
        <v>0.1</v>
      </c>
      <c r="I18" s="85">
        <f t="shared" si="1"/>
        <v>6746.4163636363664</v>
      </c>
      <c r="J18" s="89">
        <f t="shared" si="2"/>
        <v>6746.4163636363664</v>
      </c>
      <c r="K18" s="65" t="s">
        <v>148</v>
      </c>
      <c r="L18" s="91"/>
      <c r="M18" s="40" t="s">
        <v>81</v>
      </c>
    </row>
    <row r="19" spans="1:13">
      <c r="A19" s="69">
        <v>4612002</v>
      </c>
      <c r="B19" s="114"/>
      <c r="C19" s="114">
        <v>37271</v>
      </c>
      <c r="D19" s="116">
        <v>268872013</v>
      </c>
      <c r="E19" s="118" t="s">
        <v>199</v>
      </c>
      <c r="F19" s="120">
        <v>97262.8</v>
      </c>
      <c r="G19" s="85">
        <f t="shared" si="0"/>
        <v>8842.0727272727272</v>
      </c>
      <c r="H19" s="37">
        <v>0.1</v>
      </c>
      <c r="I19" s="85">
        <f t="shared" si="1"/>
        <v>8842.0727272727381</v>
      </c>
      <c r="J19" s="89">
        <f t="shared" si="2"/>
        <v>8842.0727272727381</v>
      </c>
      <c r="K19" s="65" t="s">
        <v>201</v>
      </c>
      <c r="L19" s="91"/>
      <c r="M19" s="40" t="s">
        <v>81</v>
      </c>
    </row>
    <row r="20" spans="1:13">
      <c r="A20" s="69">
        <v>4612002</v>
      </c>
      <c r="B20" s="114"/>
      <c r="C20" s="114">
        <v>37271</v>
      </c>
      <c r="D20" s="116">
        <v>268902013</v>
      </c>
      <c r="E20" s="118" t="s">
        <v>202</v>
      </c>
      <c r="F20" s="120">
        <v>87167.62</v>
      </c>
      <c r="G20" s="85">
        <f t="shared" si="0"/>
        <v>7924.3290909090902</v>
      </c>
      <c r="H20" s="37">
        <v>0.1</v>
      </c>
      <c r="I20" s="85">
        <f t="shared" si="1"/>
        <v>7924.3290909091011</v>
      </c>
      <c r="J20" s="85">
        <f t="shared" si="2"/>
        <v>7924.3290909091011</v>
      </c>
      <c r="K20" s="31" t="s">
        <v>79</v>
      </c>
      <c r="L20" s="91"/>
      <c r="M20" s="40" t="s">
        <v>81</v>
      </c>
    </row>
    <row r="21" spans="1:13">
      <c r="A21" s="157">
        <v>4612002</v>
      </c>
      <c r="B21" s="159"/>
      <c r="C21" s="159">
        <v>37271</v>
      </c>
      <c r="D21" s="160">
        <v>268922013</v>
      </c>
      <c r="E21" s="162" t="s">
        <v>207</v>
      </c>
      <c r="F21" s="164">
        <v>46941.3</v>
      </c>
      <c r="G21" s="167">
        <f t="shared" si="0"/>
        <v>4267.3909090909092</v>
      </c>
      <c r="H21" s="55">
        <v>0.1</v>
      </c>
      <c r="I21" s="167">
        <f t="shared" si="1"/>
        <v>4267.3909090909146</v>
      </c>
      <c r="J21" s="171">
        <f t="shared" si="2"/>
        <v>4267.3909090909146</v>
      </c>
      <c r="K21" s="173" t="s">
        <v>209</v>
      </c>
      <c r="L21" s="175"/>
      <c r="M21" s="176" t="s">
        <v>81</v>
      </c>
    </row>
    <row r="22" spans="1:13">
      <c r="A22" s="59">
        <v>7112002</v>
      </c>
      <c r="B22" s="61"/>
      <c r="C22" s="61">
        <v>37274</v>
      </c>
      <c r="D22" s="62">
        <v>416622012</v>
      </c>
      <c r="E22" s="11" t="s">
        <v>212</v>
      </c>
      <c r="F22" s="63">
        <v>62413.73</v>
      </c>
      <c r="G22" s="64">
        <f t="shared" si="0"/>
        <v>5673.9754545454552</v>
      </c>
      <c r="H22" s="20">
        <v>0.1</v>
      </c>
      <c r="I22" s="64">
        <f t="shared" si="1"/>
        <v>5673.9754545454562</v>
      </c>
      <c r="J22" s="127">
        <f t="shared" si="2"/>
        <v>5673.9754545454562</v>
      </c>
      <c r="K22" s="68" t="s">
        <v>148</v>
      </c>
      <c r="L22" s="67"/>
      <c r="M22" s="26" t="s">
        <v>81</v>
      </c>
    </row>
    <row r="23" spans="1:13">
      <c r="A23" s="69">
        <v>7112002</v>
      </c>
      <c r="B23" s="71"/>
      <c r="C23" s="71">
        <v>37274</v>
      </c>
      <c r="D23" s="73">
        <v>416652012</v>
      </c>
      <c r="E23" s="31" t="s">
        <v>214</v>
      </c>
      <c r="F23" s="75">
        <v>34688.15</v>
      </c>
      <c r="G23" s="85">
        <f t="shared" si="0"/>
        <v>3153.4681818181816</v>
      </c>
      <c r="H23" s="37">
        <v>0.1</v>
      </c>
      <c r="I23" s="85">
        <f t="shared" si="1"/>
        <v>3153.4681818181853</v>
      </c>
      <c r="J23" s="85">
        <f t="shared" si="2"/>
        <v>3153.4681818181853</v>
      </c>
      <c r="K23" s="31" t="s">
        <v>79</v>
      </c>
      <c r="L23" s="91"/>
      <c r="M23" s="40" t="s">
        <v>81</v>
      </c>
    </row>
    <row r="24" spans="1:13">
      <c r="A24" s="69">
        <v>7112002</v>
      </c>
      <c r="B24" s="114"/>
      <c r="C24" s="114">
        <v>37274</v>
      </c>
      <c r="D24" s="116">
        <v>416592012</v>
      </c>
      <c r="E24" s="118" t="s">
        <v>215</v>
      </c>
      <c r="F24" s="120">
        <v>54577.440000000002</v>
      </c>
      <c r="G24" s="85">
        <f t="shared" si="0"/>
        <v>4961.5854545454549</v>
      </c>
      <c r="H24" s="37">
        <v>0.1</v>
      </c>
      <c r="I24" s="85">
        <f t="shared" si="1"/>
        <v>4961.5854545454567</v>
      </c>
      <c r="J24" s="85">
        <f t="shared" si="2"/>
        <v>4961.5854545454567</v>
      </c>
      <c r="K24" s="31" t="s">
        <v>79</v>
      </c>
      <c r="L24" s="91"/>
      <c r="M24" s="40" t="s">
        <v>81</v>
      </c>
    </row>
    <row r="25" spans="1:13">
      <c r="A25" s="93">
        <v>7112002</v>
      </c>
      <c r="B25" s="131"/>
      <c r="C25" s="131">
        <v>37274</v>
      </c>
      <c r="D25" s="132">
        <v>416612012</v>
      </c>
      <c r="E25" s="133" t="s">
        <v>217</v>
      </c>
      <c r="F25" s="134">
        <v>64593.87</v>
      </c>
      <c r="G25" s="99">
        <f t="shared" si="0"/>
        <v>5872.17</v>
      </c>
      <c r="H25" s="55">
        <v>0.1</v>
      </c>
      <c r="I25" s="99">
        <f t="shared" si="1"/>
        <v>5872.1700000000055</v>
      </c>
      <c r="J25" s="99">
        <f t="shared" si="2"/>
        <v>5872.1700000000055</v>
      </c>
      <c r="K25" s="48" t="s">
        <v>79</v>
      </c>
      <c r="L25" s="104"/>
      <c r="M25" s="60" t="s">
        <v>81</v>
      </c>
    </row>
    <row r="26" spans="1:13">
      <c r="A26" s="59">
        <v>11902006</v>
      </c>
      <c r="B26" s="61"/>
      <c r="C26" s="61">
        <v>38742</v>
      </c>
      <c r="D26" s="62">
        <v>12582013</v>
      </c>
      <c r="E26" s="11" t="s">
        <v>220</v>
      </c>
      <c r="F26" s="63">
        <v>154541.15</v>
      </c>
      <c r="G26" s="64">
        <f t="shared" si="0"/>
        <v>14049.195454545454</v>
      </c>
      <c r="H26" s="20">
        <v>0.1</v>
      </c>
      <c r="I26" s="64">
        <f t="shared" si="1"/>
        <v>14049.195454545465</v>
      </c>
      <c r="J26" s="64">
        <f t="shared" si="2"/>
        <v>9244.3706090909163</v>
      </c>
      <c r="K26" s="11" t="s">
        <v>79</v>
      </c>
      <c r="L26" s="67"/>
      <c r="M26" s="26" t="s">
        <v>81</v>
      </c>
    </row>
    <row r="27" spans="1:13">
      <c r="A27" s="69">
        <v>11902006</v>
      </c>
      <c r="B27" s="71"/>
      <c r="C27" s="71">
        <v>38742</v>
      </c>
      <c r="D27" s="73">
        <v>12572013</v>
      </c>
      <c r="E27" s="31" t="s">
        <v>223</v>
      </c>
      <c r="F27" s="75">
        <v>137880.82</v>
      </c>
      <c r="G27" s="85">
        <f t="shared" si="0"/>
        <v>12534.62</v>
      </c>
      <c r="H27" s="37">
        <v>0.1</v>
      </c>
      <c r="I27" s="85">
        <f t="shared" si="1"/>
        <v>12534.62000000001</v>
      </c>
      <c r="J27" s="85">
        <f t="shared" si="2"/>
        <v>8247.7799600000071</v>
      </c>
      <c r="K27" s="31" t="s">
        <v>79</v>
      </c>
      <c r="L27" s="91"/>
      <c r="M27" s="40" t="s">
        <v>81</v>
      </c>
    </row>
    <row r="28" spans="1:13">
      <c r="A28" s="69">
        <v>11902006</v>
      </c>
      <c r="B28" s="71"/>
      <c r="C28" s="71">
        <v>38742</v>
      </c>
      <c r="D28" s="73">
        <v>12522013</v>
      </c>
      <c r="E28" s="31" t="s">
        <v>225</v>
      </c>
      <c r="F28" s="75">
        <v>179205.75</v>
      </c>
      <c r="G28" s="85">
        <f t="shared" si="0"/>
        <v>16291.431818181818</v>
      </c>
      <c r="H28" s="37">
        <v>0.1</v>
      </c>
      <c r="I28" s="85">
        <f t="shared" si="1"/>
        <v>16291.431818181823</v>
      </c>
      <c r="J28" s="85">
        <f t="shared" si="2"/>
        <v>10719.762136363641</v>
      </c>
      <c r="K28" s="31" t="s">
        <v>79</v>
      </c>
      <c r="L28" s="91"/>
      <c r="M28" s="40" t="s">
        <v>81</v>
      </c>
    </row>
    <row r="29" spans="1:13">
      <c r="A29" s="93">
        <v>11902006</v>
      </c>
      <c r="B29" s="95"/>
      <c r="C29" s="95">
        <v>38742</v>
      </c>
      <c r="D29" s="97">
        <v>12632013</v>
      </c>
      <c r="E29" s="48" t="s">
        <v>226</v>
      </c>
      <c r="F29" s="88">
        <v>154742.53</v>
      </c>
      <c r="G29" s="99">
        <f t="shared" si="0"/>
        <v>14067.502727272726</v>
      </c>
      <c r="H29" s="55">
        <v>0.1</v>
      </c>
      <c r="I29" s="99">
        <f t="shared" si="1"/>
        <v>14067.502727272746</v>
      </c>
      <c r="J29" s="99">
        <f t="shared" si="2"/>
        <v>9256.4167945454665</v>
      </c>
      <c r="K29" s="48" t="s">
        <v>79</v>
      </c>
      <c r="L29" s="104"/>
      <c r="M29" s="60" t="s">
        <v>81</v>
      </c>
    </row>
    <row r="30" spans="1:13">
      <c r="A30" s="192">
        <v>12592005</v>
      </c>
      <c r="B30" s="194"/>
      <c r="C30" s="194">
        <v>38371</v>
      </c>
      <c r="D30" s="154">
        <v>165912013</v>
      </c>
      <c r="E30" s="96" t="s">
        <v>228</v>
      </c>
      <c r="F30" s="196">
        <v>29660.59</v>
      </c>
      <c r="G30" s="198">
        <f t="shared" si="0"/>
        <v>2824.8180952380953</v>
      </c>
      <c r="H30" s="101">
        <v>0.05</v>
      </c>
      <c r="I30" s="198">
        <f t="shared" si="1"/>
        <v>1412.4090476190504</v>
      </c>
      <c r="J30" s="202">
        <f t="shared" si="2"/>
        <v>929.36515333333523</v>
      </c>
      <c r="K30" s="105" t="s">
        <v>148</v>
      </c>
      <c r="L30" s="211"/>
      <c r="M30" s="107" t="s">
        <v>81</v>
      </c>
    </row>
    <row r="31" spans="1:13">
      <c r="A31" s="214">
        <v>14092003</v>
      </c>
      <c r="B31" s="106"/>
      <c r="C31" s="106">
        <v>37645</v>
      </c>
      <c r="D31" s="108">
        <v>282812013</v>
      </c>
      <c r="E31" s="110" t="s">
        <v>235</v>
      </c>
      <c r="F31" s="111">
        <v>107540.45</v>
      </c>
      <c r="G31" s="64">
        <f t="shared" si="0"/>
        <v>9776.4045454545449</v>
      </c>
      <c r="H31" s="20">
        <v>0.1</v>
      </c>
      <c r="I31" s="64">
        <f t="shared" si="1"/>
        <v>9776.4045454545558</v>
      </c>
      <c r="J31" s="216">
        <f t="shared" si="2"/>
        <v>6256.8989090909163</v>
      </c>
      <c r="K31" s="110" t="s">
        <v>79</v>
      </c>
      <c r="L31" s="67"/>
      <c r="M31" s="26" t="s">
        <v>81</v>
      </c>
    </row>
    <row r="32" spans="1:13">
      <c r="A32" s="217">
        <v>14092003</v>
      </c>
      <c r="B32" s="114"/>
      <c r="C32" s="114">
        <v>37645</v>
      </c>
      <c r="D32" s="116">
        <v>282582013</v>
      </c>
      <c r="E32" s="118" t="s">
        <v>242</v>
      </c>
      <c r="F32" s="120">
        <v>165865.43</v>
      </c>
      <c r="G32" s="85">
        <f t="shared" si="0"/>
        <v>15078.675454545453</v>
      </c>
      <c r="H32" s="37">
        <v>0.1</v>
      </c>
      <c r="I32" s="85">
        <f t="shared" si="1"/>
        <v>15078.675454545475</v>
      </c>
      <c r="J32" s="221">
        <f t="shared" si="2"/>
        <v>9650.3522909091043</v>
      </c>
      <c r="K32" s="118" t="s">
        <v>79</v>
      </c>
      <c r="L32" s="91"/>
      <c r="M32" s="40" t="s">
        <v>81</v>
      </c>
    </row>
    <row r="33" spans="1:13">
      <c r="A33" s="223">
        <v>14092003</v>
      </c>
      <c r="B33" s="131"/>
      <c r="C33" s="131">
        <v>37645</v>
      </c>
      <c r="D33" s="132">
        <v>282552013</v>
      </c>
      <c r="E33" s="133" t="s">
        <v>248</v>
      </c>
      <c r="F33" s="134">
        <v>68077.399999999994</v>
      </c>
      <c r="G33" s="99">
        <f t="shared" si="0"/>
        <v>6188.8545454545447</v>
      </c>
      <c r="H33" s="55">
        <v>0.1</v>
      </c>
      <c r="I33" s="99">
        <f t="shared" si="1"/>
        <v>6188.8545454545529</v>
      </c>
      <c r="J33" s="226">
        <f t="shared" si="2"/>
        <v>3960.8669090909139</v>
      </c>
      <c r="K33" s="228" t="s">
        <v>148</v>
      </c>
      <c r="L33" s="104"/>
      <c r="M33" s="60" t="s">
        <v>81</v>
      </c>
    </row>
    <row r="34" spans="1:13">
      <c r="A34" s="59">
        <v>16172003</v>
      </c>
      <c r="B34" s="231" t="s">
        <v>22</v>
      </c>
      <c r="C34" s="231">
        <v>37650</v>
      </c>
      <c r="D34" s="11">
        <v>279992013</v>
      </c>
      <c r="E34" s="11" t="s">
        <v>251</v>
      </c>
      <c r="F34" s="111">
        <v>34910.86</v>
      </c>
      <c r="G34" s="64">
        <f t="shared" si="0"/>
        <v>3173.7145454545453</v>
      </c>
      <c r="H34" s="20">
        <v>0.1</v>
      </c>
      <c r="I34" s="64">
        <f t="shared" si="1"/>
        <v>3173.7145454545498</v>
      </c>
      <c r="J34" s="216">
        <f t="shared" si="2"/>
        <v>2031.1773090909119</v>
      </c>
      <c r="K34" s="110" t="s">
        <v>79</v>
      </c>
      <c r="L34" s="67"/>
      <c r="M34" s="26" t="s">
        <v>81</v>
      </c>
    </row>
    <row r="35" spans="1:13">
      <c r="A35" s="69">
        <v>16172003</v>
      </c>
      <c r="B35" s="237" t="s">
        <v>22</v>
      </c>
      <c r="C35" s="114">
        <v>37650</v>
      </c>
      <c r="D35" s="239">
        <v>280022013</v>
      </c>
      <c r="E35" s="118" t="s">
        <v>253</v>
      </c>
      <c r="F35" s="120">
        <v>41858.559999999998</v>
      </c>
      <c r="G35" s="85">
        <f t="shared" si="0"/>
        <v>3805.3236363636361</v>
      </c>
      <c r="H35" s="37">
        <v>0.1</v>
      </c>
      <c r="I35" s="85">
        <f t="shared" si="1"/>
        <v>3805.3236363636388</v>
      </c>
      <c r="J35" s="221">
        <f t="shared" si="2"/>
        <v>2435.4071272727288</v>
      </c>
      <c r="K35" s="129" t="s">
        <v>254</v>
      </c>
      <c r="L35" s="91" t="s">
        <v>81</v>
      </c>
      <c r="M35" s="40" t="s">
        <v>81</v>
      </c>
    </row>
    <row r="36" spans="1:13">
      <c r="A36" s="69">
        <v>16172003</v>
      </c>
      <c r="B36" s="114" t="s">
        <v>22</v>
      </c>
      <c r="C36" s="114">
        <v>37650</v>
      </c>
      <c r="D36" s="116">
        <v>280032013</v>
      </c>
      <c r="E36" s="118" t="s">
        <v>255</v>
      </c>
      <c r="F36" s="120">
        <v>49870.63</v>
      </c>
      <c r="G36" s="85">
        <f t="shared" si="0"/>
        <v>4533.693636363636</v>
      </c>
      <c r="H36" s="37">
        <v>0.1</v>
      </c>
      <c r="I36" s="85">
        <f t="shared" si="1"/>
        <v>4533.6936363636414</v>
      </c>
      <c r="J36" s="243">
        <f t="shared" si="2"/>
        <v>2901.5639272727308</v>
      </c>
      <c r="K36" s="129" t="s">
        <v>256</v>
      </c>
      <c r="L36" s="91"/>
      <c r="M36" s="40" t="s">
        <v>81</v>
      </c>
    </row>
    <row r="37" spans="1:13">
      <c r="A37" s="69">
        <v>16172003</v>
      </c>
      <c r="B37" s="114" t="s">
        <v>22</v>
      </c>
      <c r="C37" s="114">
        <v>37650</v>
      </c>
      <c r="D37" s="116">
        <v>280062013</v>
      </c>
      <c r="E37" s="118" t="s">
        <v>257</v>
      </c>
      <c r="F37" s="120">
        <v>29660.81</v>
      </c>
      <c r="G37" s="85">
        <f t="shared" si="0"/>
        <v>2696.437272727273</v>
      </c>
      <c r="H37" s="37">
        <v>0.1</v>
      </c>
      <c r="I37" s="85">
        <f t="shared" si="1"/>
        <v>2696.4372727272748</v>
      </c>
      <c r="J37" s="89">
        <f t="shared" si="2"/>
        <v>1725.719854545456</v>
      </c>
      <c r="K37" s="65" t="s">
        <v>254</v>
      </c>
      <c r="L37" s="91" t="s">
        <v>81</v>
      </c>
      <c r="M37" s="40" t="s">
        <v>81</v>
      </c>
    </row>
    <row r="38" spans="1:13">
      <c r="A38" s="223">
        <v>16172003</v>
      </c>
      <c r="B38" s="131" t="s">
        <v>22</v>
      </c>
      <c r="C38" s="131">
        <v>37650</v>
      </c>
      <c r="D38" s="132">
        <v>279642013</v>
      </c>
      <c r="E38" s="133" t="s">
        <v>258</v>
      </c>
      <c r="F38" s="134">
        <v>39458.480000000003</v>
      </c>
      <c r="G38" s="99">
        <f t="shared" si="0"/>
        <v>3587.1345454545453</v>
      </c>
      <c r="H38" s="55">
        <v>0.1</v>
      </c>
      <c r="I38" s="99">
        <f t="shared" si="1"/>
        <v>3587.1345454545517</v>
      </c>
      <c r="J38" s="102">
        <f t="shared" si="2"/>
        <v>2295.7661090909132</v>
      </c>
      <c r="K38" s="58" t="s">
        <v>166</v>
      </c>
      <c r="L38" s="104"/>
      <c r="M38" s="60" t="s">
        <v>81</v>
      </c>
    </row>
    <row r="39" spans="1:13">
      <c r="A39" s="214">
        <v>16202003</v>
      </c>
      <c r="B39" s="106"/>
      <c r="C39" s="106">
        <v>37650</v>
      </c>
      <c r="D39" s="108">
        <v>268782013</v>
      </c>
      <c r="E39" s="110" t="s">
        <v>260</v>
      </c>
      <c r="F39" s="111">
        <v>55492.31</v>
      </c>
      <c r="G39" s="64">
        <f t="shared" si="0"/>
        <v>5044.755454545455</v>
      </c>
      <c r="H39" s="20">
        <v>0.1</v>
      </c>
      <c r="I39" s="64">
        <f t="shared" si="1"/>
        <v>5044.755454545455</v>
      </c>
      <c r="J39" s="216">
        <f t="shared" si="2"/>
        <v>3228.6434909090913</v>
      </c>
      <c r="K39" s="110" t="s">
        <v>79</v>
      </c>
      <c r="L39" s="67"/>
      <c r="M39" s="26" t="s">
        <v>81</v>
      </c>
    </row>
    <row r="40" spans="1:13">
      <c r="A40" s="217">
        <v>16202003</v>
      </c>
      <c r="B40" s="114"/>
      <c r="C40" s="114">
        <v>37650</v>
      </c>
      <c r="D40" s="116">
        <v>268652013</v>
      </c>
      <c r="E40" s="118" t="s">
        <v>261</v>
      </c>
      <c r="F40" s="120">
        <v>53899.17</v>
      </c>
      <c r="G40" s="85">
        <f t="shared" si="0"/>
        <v>4899.9245454545444</v>
      </c>
      <c r="H40" s="37">
        <v>0.1</v>
      </c>
      <c r="I40" s="85">
        <f t="shared" si="1"/>
        <v>4899.9245454545526</v>
      </c>
      <c r="J40" s="221">
        <f t="shared" si="2"/>
        <v>3135.9517090909139</v>
      </c>
      <c r="K40" s="118" t="s">
        <v>79</v>
      </c>
      <c r="L40" s="91"/>
      <c r="M40" s="40" t="s">
        <v>81</v>
      </c>
    </row>
    <row r="41" spans="1:13">
      <c r="A41" s="69">
        <v>16202003</v>
      </c>
      <c r="B41" s="71"/>
      <c r="C41" s="71">
        <v>37650</v>
      </c>
      <c r="D41" s="73">
        <v>268612013</v>
      </c>
      <c r="E41" s="31" t="s">
        <v>262</v>
      </c>
      <c r="F41" s="75">
        <v>73283.429999999993</v>
      </c>
      <c r="G41" s="85">
        <f t="shared" si="0"/>
        <v>6662.1299999999992</v>
      </c>
      <c r="H41" s="37">
        <v>0.1</v>
      </c>
      <c r="I41" s="85">
        <f t="shared" si="1"/>
        <v>6662.1300000000047</v>
      </c>
      <c r="J41" s="85">
        <f t="shared" si="2"/>
        <v>4263.7632000000031</v>
      </c>
      <c r="K41" s="31" t="s">
        <v>79</v>
      </c>
      <c r="L41" s="91"/>
      <c r="M41" s="40" t="s">
        <v>81</v>
      </c>
    </row>
    <row r="42" spans="1:13">
      <c r="A42" s="69">
        <v>16202003</v>
      </c>
      <c r="B42" s="71"/>
      <c r="C42" s="71">
        <v>37650</v>
      </c>
      <c r="D42" s="73">
        <v>268702013</v>
      </c>
      <c r="E42" s="31" t="s">
        <v>265</v>
      </c>
      <c r="F42" s="75">
        <v>55016.04</v>
      </c>
      <c r="G42" s="85">
        <f t="shared" si="0"/>
        <v>5001.4581818181823</v>
      </c>
      <c r="H42" s="37">
        <v>0.1</v>
      </c>
      <c r="I42" s="85">
        <f t="shared" si="1"/>
        <v>5001.4581818181832</v>
      </c>
      <c r="J42" s="85">
        <f t="shared" si="2"/>
        <v>3200.9332363636372</v>
      </c>
      <c r="K42" s="31" t="s">
        <v>79</v>
      </c>
      <c r="L42" s="91"/>
      <c r="M42" s="40" t="s">
        <v>81</v>
      </c>
    </row>
    <row r="43" spans="1:13">
      <c r="A43" s="93">
        <v>16202003</v>
      </c>
      <c r="B43" s="95"/>
      <c r="C43" s="95">
        <v>37650</v>
      </c>
      <c r="D43" s="97">
        <v>268562013</v>
      </c>
      <c r="E43" s="48" t="s">
        <v>267</v>
      </c>
      <c r="F43" s="88">
        <v>63848.98</v>
      </c>
      <c r="G43" s="99">
        <f t="shared" si="0"/>
        <v>5804.4527272727273</v>
      </c>
      <c r="H43" s="55">
        <v>0.1</v>
      </c>
      <c r="I43" s="99">
        <f t="shared" si="1"/>
        <v>5804.4527272727355</v>
      </c>
      <c r="J43" s="99">
        <f t="shared" si="2"/>
        <v>3714.8497454545509</v>
      </c>
      <c r="K43" s="48" t="s">
        <v>79</v>
      </c>
      <c r="L43" s="104"/>
      <c r="M43" s="60" t="s">
        <v>81</v>
      </c>
    </row>
    <row r="44" spans="1:13">
      <c r="A44" s="59">
        <v>16382003</v>
      </c>
      <c r="B44" s="258"/>
      <c r="C44" s="258">
        <v>37650</v>
      </c>
      <c r="D44" s="268">
        <v>283692013</v>
      </c>
      <c r="E44" s="68" t="s">
        <v>273</v>
      </c>
      <c r="F44" s="63">
        <v>32248.61</v>
      </c>
      <c r="G44" s="64">
        <f t="shared" si="0"/>
        <v>2931.6918181818182</v>
      </c>
      <c r="H44" s="20">
        <v>0.1</v>
      </c>
      <c r="I44" s="64">
        <f t="shared" si="1"/>
        <v>2931.6918181818219</v>
      </c>
      <c r="J44" s="64">
        <f t="shared" si="2"/>
        <v>1876.2827636363661</v>
      </c>
      <c r="K44" s="11" t="s">
        <v>79</v>
      </c>
      <c r="L44" s="67"/>
      <c r="M44" s="26" t="s">
        <v>81</v>
      </c>
    </row>
    <row r="45" spans="1:13">
      <c r="A45" s="69">
        <v>16382003</v>
      </c>
      <c r="B45" s="71"/>
      <c r="C45" s="273">
        <v>37650</v>
      </c>
      <c r="D45" s="116">
        <v>283782013</v>
      </c>
      <c r="E45" s="118" t="s">
        <v>275</v>
      </c>
      <c r="F45" s="120">
        <v>25051.66</v>
      </c>
      <c r="G45" s="85">
        <f t="shared" si="0"/>
        <v>2277.4236363636364</v>
      </c>
      <c r="H45" s="37">
        <v>0.1</v>
      </c>
      <c r="I45" s="85">
        <f t="shared" si="1"/>
        <v>2277.4236363636373</v>
      </c>
      <c r="J45" s="89">
        <f t="shared" si="2"/>
        <v>1457.5511272727279</v>
      </c>
      <c r="K45" s="65" t="s">
        <v>166</v>
      </c>
      <c r="L45" s="91"/>
      <c r="M45" s="40" t="s">
        <v>81</v>
      </c>
    </row>
    <row r="46" spans="1:13">
      <c r="A46" s="93">
        <v>16382003</v>
      </c>
      <c r="B46" s="258"/>
      <c r="C46" s="258">
        <v>37650</v>
      </c>
      <c r="D46" s="132">
        <v>283752013</v>
      </c>
      <c r="E46" s="133" t="s">
        <v>276</v>
      </c>
      <c r="F46" s="134">
        <v>40641.589999999997</v>
      </c>
      <c r="G46" s="99">
        <f t="shared" si="0"/>
        <v>3694.6899999999996</v>
      </c>
      <c r="H46" s="55">
        <v>0.1</v>
      </c>
      <c r="I46" s="99">
        <f t="shared" si="1"/>
        <v>3694.6900000000023</v>
      </c>
      <c r="J46" s="99">
        <f t="shared" si="2"/>
        <v>2364.6016000000013</v>
      </c>
      <c r="K46" s="48" t="s">
        <v>79</v>
      </c>
      <c r="L46" s="104"/>
      <c r="M46" s="60" t="s">
        <v>81</v>
      </c>
    </row>
    <row r="47" spans="1:13">
      <c r="A47" s="214">
        <v>29582003</v>
      </c>
      <c r="B47" s="106"/>
      <c r="C47" s="106">
        <v>37666</v>
      </c>
      <c r="D47" s="108">
        <v>283492013</v>
      </c>
      <c r="E47" s="110" t="s">
        <v>278</v>
      </c>
      <c r="F47" s="111">
        <v>85040.45</v>
      </c>
      <c r="G47" s="64">
        <f t="shared" si="0"/>
        <v>7730.9499999999989</v>
      </c>
      <c r="H47" s="20">
        <v>0.1</v>
      </c>
      <c r="I47" s="64">
        <f t="shared" si="1"/>
        <v>7730.9500000000116</v>
      </c>
      <c r="J47" s="64">
        <f t="shared" si="2"/>
        <v>4947.8080000000073</v>
      </c>
      <c r="K47" s="11" t="s">
        <v>79</v>
      </c>
      <c r="L47" s="67"/>
      <c r="M47" s="26" t="s">
        <v>81</v>
      </c>
    </row>
    <row r="48" spans="1:13">
      <c r="A48" s="217">
        <v>29582003</v>
      </c>
      <c r="B48" s="114"/>
      <c r="C48" s="114">
        <v>37666</v>
      </c>
      <c r="D48" s="116">
        <v>282542013</v>
      </c>
      <c r="E48" s="118" t="s">
        <v>279</v>
      </c>
      <c r="F48" s="120">
        <v>83214.600000000006</v>
      </c>
      <c r="G48" s="85">
        <f t="shared" si="0"/>
        <v>7564.9636363636373</v>
      </c>
      <c r="H48" s="37">
        <v>0.1</v>
      </c>
      <c r="I48" s="85">
        <f t="shared" si="1"/>
        <v>7564.9636363636382</v>
      </c>
      <c r="J48" s="89">
        <f t="shared" si="2"/>
        <v>4841.5767272727289</v>
      </c>
      <c r="K48" s="65" t="s">
        <v>148</v>
      </c>
      <c r="L48" s="91"/>
      <c r="M48" s="40" t="s">
        <v>81</v>
      </c>
    </row>
    <row r="49" spans="1:13">
      <c r="A49" s="69">
        <v>29582003</v>
      </c>
      <c r="B49" s="114"/>
      <c r="C49" s="114">
        <v>37666</v>
      </c>
      <c r="D49" s="116">
        <v>284582013</v>
      </c>
      <c r="E49" s="118" t="s">
        <v>280</v>
      </c>
      <c r="F49" s="120">
        <v>64927.199999999997</v>
      </c>
      <c r="G49" s="85">
        <f t="shared" si="0"/>
        <v>5902.4727272727268</v>
      </c>
      <c r="H49" s="37">
        <v>0.1</v>
      </c>
      <c r="I49" s="85">
        <f t="shared" si="1"/>
        <v>5902.4727272727323</v>
      </c>
      <c r="J49" s="85">
        <f t="shared" si="2"/>
        <v>3777.5825454545488</v>
      </c>
      <c r="K49" s="31" t="s">
        <v>79</v>
      </c>
      <c r="L49" s="91"/>
      <c r="M49" s="40" t="s">
        <v>81</v>
      </c>
    </row>
    <row r="50" spans="1:13">
      <c r="A50" s="69">
        <v>29582003</v>
      </c>
      <c r="B50" s="114"/>
      <c r="C50" s="114">
        <v>37666</v>
      </c>
      <c r="D50" s="116">
        <v>284612013</v>
      </c>
      <c r="E50" s="118" t="s">
        <v>282</v>
      </c>
      <c r="F50" s="120">
        <v>24840.81</v>
      </c>
      <c r="G50" s="85">
        <f t="shared" si="0"/>
        <v>2258.2554545454545</v>
      </c>
      <c r="H50" s="37">
        <v>0.1</v>
      </c>
      <c r="I50" s="85">
        <f t="shared" si="1"/>
        <v>2258.255454545455</v>
      </c>
      <c r="J50" s="89">
        <f t="shared" si="2"/>
        <v>1445.2834909090911</v>
      </c>
      <c r="K50" s="65" t="s">
        <v>166</v>
      </c>
      <c r="L50" s="91"/>
      <c r="M50" s="40" t="s">
        <v>81</v>
      </c>
    </row>
    <row r="51" spans="1:13">
      <c r="A51" s="93">
        <v>29582003</v>
      </c>
      <c r="B51" s="131"/>
      <c r="C51" s="131">
        <v>37666</v>
      </c>
      <c r="D51" s="132">
        <v>282572013</v>
      </c>
      <c r="E51" s="133" t="s">
        <v>284</v>
      </c>
      <c r="F51" s="134">
        <v>47499.19</v>
      </c>
      <c r="G51" s="99">
        <f t="shared" si="0"/>
        <v>4318.1081818181819</v>
      </c>
      <c r="H51" s="55">
        <v>0.1</v>
      </c>
      <c r="I51" s="99">
        <f t="shared" si="1"/>
        <v>4318.1081818181847</v>
      </c>
      <c r="J51" s="99">
        <f t="shared" si="2"/>
        <v>2763.5892363636381</v>
      </c>
      <c r="K51" s="48" t="s">
        <v>79</v>
      </c>
      <c r="L51" s="104"/>
      <c r="M51" s="60" t="s">
        <v>81</v>
      </c>
    </row>
    <row r="52" spans="1:13">
      <c r="A52" s="214">
        <v>32292003</v>
      </c>
      <c r="B52" s="106"/>
      <c r="C52" s="106">
        <v>37671</v>
      </c>
      <c r="D52" s="108">
        <v>268542013</v>
      </c>
      <c r="E52" s="110" t="s">
        <v>286</v>
      </c>
      <c r="F52" s="111">
        <v>141430.45000000001</v>
      </c>
      <c r="G52" s="64">
        <f t="shared" si="0"/>
        <v>12857.313636363637</v>
      </c>
      <c r="H52" s="20">
        <v>0.1</v>
      </c>
      <c r="I52" s="64">
        <f t="shared" si="1"/>
        <v>12857.313636363644</v>
      </c>
      <c r="J52" s="127">
        <f t="shared" si="2"/>
        <v>8228.6807272727328</v>
      </c>
      <c r="K52" s="68" t="s">
        <v>148</v>
      </c>
      <c r="L52" s="67"/>
      <c r="M52" s="26" t="s">
        <v>81</v>
      </c>
    </row>
    <row r="53" spans="1:13">
      <c r="A53" s="217">
        <v>32292003</v>
      </c>
      <c r="B53" s="114"/>
      <c r="C53" s="114">
        <v>37671</v>
      </c>
      <c r="D53" s="116">
        <v>268512013</v>
      </c>
      <c r="E53" s="118" t="s">
        <v>287</v>
      </c>
      <c r="F53" s="120">
        <v>26834.5</v>
      </c>
      <c r="G53" s="85">
        <f t="shared" si="0"/>
        <v>2439.4999999999995</v>
      </c>
      <c r="H53" s="37">
        <v>0.1</v>
      </c>
      <c r="I53" s="85">
        <f t="shared" si="1"/>
        <v>2439.5000000000036</v>
      </c>
      <c r="J53" s="221">
        <f t="shared" si="2"/>
        <v>1561.2800000000025</v>
      </c>
      <c r="K53" s="118" t="s">
        <v>79</v>
      </c>
      <c r="L53" s="91"/>
      <c r="M53" s="40" t="s">
        <v>81</v>
      </c>
    </row>
    <row r="54" spans="1:13">
      <c r="A54" s="217">
        <v>32292003</v>
      </c>
      <c r="B54" s="114"/>
      <c r="C54" s="114">
        <v>37671</v>
      </c>
      <c r="D54" s="116">
        <v>268472013</v>
      </c>
      <c r="E54" s="118" t="s">
        <v>288</v>
      </c>
      <c r="F54" s="120">
        <v>187342.61</v>
      </c>
      <c r="G54" s="85">
        <f t="shared" si="0"/>
        <v>17031.146363636362</v>
      </c>
      <c r="H54" s="37">
        <v>0.1</v>
      </c>
      <c r="I54" s="85">
        <f t="shared" si="1"/>
        <v>17031.146363636362</v>
      </c>
      <c r="J54" s="89">
        <f t="shared" si="2"/>
        <v>10899.933672727273</v>
      </c>
      <c r="K54" s="65" t="s">
        <v>148</v>
      </c>
      <c r="L54" s="91"/>
      <c r="M54" s="40" t="s">
        <v>81</v>
      </c>
    </row>
    <row r="55" spans="1:13">
      <c r="A55" s="223">
        <v>32292003</v>
      </c>
      <c r="B55" s="131"/>
      <c r="C55" s="131">
        <v>37671</v>
      </c>
      <c r="D55" s="132">
        <v>268462013</v>
      </c>
      <c r="E55" s="133" t="s">
        <v>289</v>
      </c>
      <c r="F55" s="134">
        <v>170013.56</v>
      </c>
      <c r="G55" s="99">
        <f t="shared" si="0"/>
        <v>15455.778181818181</v>
      </c>
      <c r="H55" s="55">
        <v>0.1</v>
      </c>
      <c r="I55" s="99">
        <f t="shared" si="1"/>
        <v>15455.778181818197</v>
      </c>
      <c r="J55" s="292">
        <f t="shared" si="2"/>
        <v>9891.6980363636467</v>
      </c>
      <c r="K55" s="133" t="s">
        <v>79</v>
      </c>
      <c r="L55" s="104"/>
      <c r="M55" s="60" t="s">
        <v>81</v>
      </c>
    </row>
    <row r="56" spans="1:13">
      <c r="A56" s="214">
        <v>35332006</v>
      </c>
      <c r="B56" s="294"/>
      <c r="C56" s="294">
        <v>38782</v>
      </c>
      <c r="D56" s="108">
        <v>277432013</v>
      </c>
      <c r="E56" s="296" t="s">
        <v>291</v>
      </c>
      <c r="F56" s="111">
        <v>145894.34</v>
      </c>
      <c r="G56" s="64">
        <f t="shared" si="0"/>
        <v>13263.121818181819</v>
      </c>
      <c r="H56" s="20">
        <v>0.1</v>
      </c>
      <c r="I56" s="64">
        <f t="shared" si="1"/>
        <v>13263.121818181826</v>
      </c>
      <c r="J56" s="216">
        <f t="shared" si="2"/>
        <v>8727.1341563636415</v>
      </c>
      <c r="K56" s="110" t="s">
        <v>79</v>
      </c>
      <c r="L56" s="67"/>
      <c r="M56" s="26" t="s">
        <v>81</v>
      </c>
    </row>
    <row r="57" spans="1:13">
      <c r="A57" s="69">
        <v>35332006</v>
      </c>
      <c r="B57" s="303"/>
      <c r="C57" s="318">
        <v>38782</v>
      </c>
      <c r="D57" s="116">
        <v>277392013</v>
      </c>
      <c r="E57" s="118" t="s">
        <v>296</v>
      </c>
      <c r="F57" s="120">
        <v>129446.1</v>
      </c>
      <c r="G57" s="85">
        <f t="shared" si="0"/>
        <v>11767.827272727272</v>
      </c>
      <c r="H57" s="37">
        <v>0.1</v>
      </c>
      <c r="I57" s="85">
        <f t="shared" si="1"/>
        <v>11767.827272727285</v>
      </c>
      <c r="J57" s="85">
        <f t="shared" si="2"/>
        <v>7743.2303454545536</v>
      </c>
      <c r="K57" s="31" t="s">
        <v>79</v>
      </c>
      <c r="L57" s="91"/>
      <c r="M57" s="40" t="s">
        <v>81</v>
      </c>
    </row>
    <row r="58" spans="1:13">
      <c r="A58" s="69">
        <v>35332006</v>
      </c>
      <c r="B58" s="303"/>
      <c r="C58" s="318">
        <v>38782</v>
      </c>
      <c r="D58" s="116">
        <v>277402013</v>
      </c>
      <c r="E58" s="118" t="s">
        <v>297</v>
      </c>
      <c r="F58" s="120">
        <v>170786.56</v>
      </c>
      <c r="G58" s="85">
        <f t="shared" si="0"/>
        <v>15526.050909090907</v>
      </c>
      <c r="H58" s="37">
        <v>0.1</v>
      </c>
      <c r="I58" s="85">
        <f t="shared" si="1"/>
        <v>15526.050909090933</v>
      </c>
      <c r="J58" s="85">
        <f t="shared" si="2"/>
        <v>10216.141498181834</v>
      </c>
      <c r="K58" s="31" t="s">
        <v>79</v>
      </c>
      <c r="L58" s="91"/>
      <c r="M58" s="40" t="s">
        <v>81</v>
      </c>
    </row>
    <row r="59" spans="1:13">
      <c r="A59" s="93">
        <v>35332006</v>
      </c>
      <c r="B59" s="294"/>
      <c r="C59" s="294">
        <v>38782</v>
      </c>
      <c r="D59" s="132">
        <v>277412013</v>
      </c>
      <c r="E59" s="133" t="s">
        <v>298</v>
      </c>
      <c r="F59" s="134">
        <v>139137.09</v>
      </c>
      <c r="G59" s="99">
        <f t="shared" si="0"/>
        <v>12648.826363636363</v>
      </c>
      <c r="H59" s="55">
        <v>0.1</v>
      </c>
      <c r="I59" s="99">
        <f t="shared" si="1"/>
        <v>12648.82636363637</v>
      </c>
      <c r="J59" s="102">
        <f t="shared" si="2"/>
        <v>8322.9277472727317</v>
      </c>
      <c r="K59" s="58" t="s">
        <v>148</v>
      </c>
      <c r="L59" s="104"/>
      <c r="M59" s="60" t="s">
        <v>81</v>
      </c>
    </row>
    <row r="60" spans="1:13">
      <c r="A60" s="59">
        <v>36612005</v>
      </c>
      <c r="B60" s="106"/>
      <c r="C60" s="106">
        <v>38412</v>
      </c>
      <c r="D60" s="108">
        <v>267152013</v>
      </c>
      <c r="E60" s="110" t="s">
        <v>299</v>
      </c>
      <c r="F60" s="111">
        <v>15543.85</v>
      </c>
      <c r="G60" s="64">
        <f t="shared" si="0"/>
        <v>1413.0772727272727</v>
      </c>
      <c r="H60" s="20">
        <v>0.1</v>
      </c>
      <c r="I60" s="64">
        <f t="shared" si="1"/>
        <v>1413.0772727272742</v>
      </c>
      <c r="J60" s="127">
        <f t="shared" si="2"/>
        <v>929.80484545454647</v>
      </c>
      <c r="K60" s="68" t="s">
        <v>201</v>
      </c>
      <c r="L60" s="67"/>
      <c r="M60" s="26" t="s">
        <v>81</v>
      </c>
    </row>
    <row r="61" spans="1:13">
      <c r="A61" s="93">
        <v>36612005</v>
      </c>
      <c r="B61" s="131"/>
      <c r="C61" s="131">
        <v>38412</v>
      </c>
      <c r="D61" s="132">
        <v>267182013</v>
      </c>
      <c r="E61" s="133" t="s">
        <v>300</v>
      </c>
      <c r="F61" s="134">
        <v>15998</v>
      </c>
      <c r="G61" s="99">
        <f t="shared" si="0"/>
        <v>1454.3636363636363</v>
      </c>
      <c r="H61" s="55">
        <v>0.1</v>
      </c>
      <c r="I61" s="99">
        <f t="shared" si="1"/>
        <v>1454.3636363636379</v>
      </c>
      <c r="J61" s="99">
        <f t="shared" si="2"/>
        <v>956.9712727272738</v>
      </c>
      <c r="K61" s="48" t="s">
        <v>79</v>
      </c>
      <c r="L61" s="104"/>
      <c r="M61" s="60" t="s">
        <v>81</v>
      </c>
    </row>
    <row r="62" spans="1:13">
      <c r="A62" s="214">
        <v>41822003</v>
      </c>
      <c r="B62" s="106"/>
      <c r="C62" s="106">
        <v>37691</v>
      </c>
      <c r="D62" s="108">
        <v>268072013</v>
      </c>
      <c r="E62" s="110" t="s">
        <v>302</v>
      </c>
      <c r="F62" s="111">
        <v>50542.559999999998</v>
      </c>
      <c r="G62" s="64">
        <f t="shared" si="0"/>
        <v>4594.778181818182</v>
      </c>
      <c r="H62" s="20">
        <v>0.1</v>
      </c>
      <c r="I62" s="64">
        <f t="shared" si="1"/>
        <v>4594.7781818181829</v>
      </c>
      <c r="J62" s="64">
        <f t="shared" si="2"/>
        <v>2940.6580363636372</v>
      </c>
      <c r="K62" s="11" t="s">
        <v>79</v>
      </c>
      <c r="L62" s="67"/>
      <c r="M62" s="26" t="s">
        <v>81</v>
      </c>
    </row>
    <row r="63" spans="1:13">
      <c r="A63" s="331">
        <v>41822003</v>
      </c>
      <c r="B63" s="333"/>
      <c r="C63" s="333">
        <v>37691</v>
      </c>
      <c r="D63" s="335">
        <v>268082013</v>
      </c>
      <c r="E63" s="337" t="s">
        <v>304</v>
      </c>
      <c r="F63" s="339">
        <v>85761.98</v>
      </c>
      <c r="G63" s="340">
        <f t="shared" si="0"/>
        <v>7796.5436363636363</v>
      </c>
      <c r="H63" s="342">
        <v>0.1</v>
      </c>
      <c r="I63" s="340">
        <f t="shared" si="1"/>
        <v>7796.54363636364</v>
      </c>
      <c r="J63" s="347">
        <f t="shared" si="2"/>
        <v>4989.7879272727296</v>
      </c>
      <c r="K63" s="349" t="s">
        <v>209</v>
      </c>
      <c r="L63" s="351"/>
      <c r="M63" s="353" t="s">
        <v>81</v>
      </c>
    </row>
    <row r="64" spans="1:13">
      <c r="A64" s="331">
        <v>41822003</v>
      </c>
      <c r="B64" s="333"/>
      <c r="C64" s="333">
        <v>37691</v>
      </c>
      <c r="D64" s="335">
        <v>268102013</v>
      </c>
      <c r="E64" s="337" t="s">
        <v>308</v>
      </c>
      <c r="F64" s="339">
        <v>23478.82</v>
      </c>
      <c r="G64" s="340">
        <f t="shared" si="0"/>
        <v>2134.4381818181819</v>
      </c>
      <c r="H64" s="342">
        <v>0.1</v>
      </c>
      <c r="I64" s="340">
        <f t="shared" si="1"/>
        <v>2134.4381818181828</v>
      </c>
      <c r="J64" s="347">
        <f t="shared" si="2"/>
        <v>1366.0404363636369</v>
      </c>
      <c r="K64" s="349" t="s">
        <v>209</v>
      </c>
      <c r="L64" s="351"/>
      <c r="M64" s="353" t="s">
        <v>81</v>
      </c>
    </row>
    <row r="65" spans="1:13">
      <c r="A65" s="69">
        <v>41822003</v>
      </c>
      <c r="B65" s="71"/>
      <c r="C65" s="71">
        <v>37691</v>
      </c>
      <c r="D65" s="73">
        <v>268092013</v>
      </c>
      <c r="E65" s="118" t="s">
        <v>309</v>
      </c>
      <c r="F65" s="120">
        <v>30698.82</v>
      </c>
      <c r="G65" s="85">
        <f t="shared" si="0"/>
        <v>2790.8018181818184</v>
      </c>
      <c r="H65" s="37">
        <v>0.1</v>
      </c>
      <c r="I65" s="85">
        <f t="shared" si="1"/>
        <v>2790.8018181818188</v>
      </c>
      <c r="J65" s="89">
        <f t="shared" si="2"/>
        <v>1786.1131636363641</v>
      </c>
      <c r="K65" s="65" t="s">
        <v>166</v>
      </c>
      <c r="L65" s="91"/>
      <c r="M65" s="40" t="s">
        <v>81</v>
      </c>
    </row>
    <row r="66" spans="1:13">
      <c r="A66" s="223">
        <v>41822003</v>
      </c>
      <c r="B66" s="358"/>
      <c r="C66" s="358">
        <v>37691</v>
      </c>
      <c r="D66" s="133">
        <v>268062013</v>
      </c>
      <c r="E66" s="133" t="s">
        <v>310</v>
      </c>
      <c r="F66" s="134">
        <v>53526.73</v>
      </c>
      <c r="G66" s="99">
        <f t="shared" si="0"/>
        <v>4866.0663636363633</v>
      </c>
      <c r="H66" s="55">
        <v>0.1</v>
      </c>
      <c r="I66" s="99">
        <f t="shared" si="1"/>
        <v>4866.0663636363679</v>
      </c>
      <c r="J66" s="102">
        <f t="shared" si="2"/>
        <v>3114.2824727272755</v>
      </c>
      <c r="K66" s="58" t="s">
        <v>201</v>
      </c>
      <c r="L66" s="104"/>
      <c r="M66" s="60" t="s">
        <v>81</v>
      </c>
    </row>
    <row r="67" spans="1:13">
      <c r="A67" s="59">
        <v>42682003</v>
      </c>
      <c r="B67" s="366"/>
      <c r="C67" s="366">
        <v>37691</v>
      </c>
      <c r="D67" s="368">
        <v>165822013</v>
      </c>
      <c r="E67" s="110" t="s">
        <v>314</v>
      </c>
      <c r="F67" s="111">
        <v>31146.42</v>
      </c>
      <c r="G67" s="64">
        <f t="shared" si="0"/>
        <v>2831.4927272727273</v>
      </c>
      <c r="H67" s="20">
        <v>0.1</v>
      </c>
      <c r="I67" s="64">
        <f t="shared" si="1"/>
        <v>2831.4927272727291</v>
      </c>
      <c r="J67" s="127">
        <f t="shared" si="2"/>
        <v>1812.1553454545467</v>
      </c>
      <c r="K67" s="68" t="s">
        <v>166</v>
      </c>
      <c r="L67" s="67"/>
      <c r="M67" s="26" t="s">
        <v>81</v>
      </c>
    </row>
    <row r="68" spans="1:13">
      <c r="A68" s="69">
        <v>42682003</v>
      </c>
      <c r="B68" s="370"/>
      <c r="C68" s="370">
        <v>37691</v>
      </c>
      <c r="D68" s="372">
        <v>165762013</v>
      </c>
      <c r="E68" s="118" t="s">
        <v>320</v>
      </c>
      <c r="F68" s="120">
        <v>47289.04</v>
      </c>
      <c r="G68" s="85">
        <f t="shared" si="0"/>
        <v>4299.0036363636364</v>
      </c>
      <c r="H68" s="37">
        <v>0.1</v>
      </c>
      <c r="I68" s="85">
        <f t="shared" si="1"/>
        <v>4299.0036363636391</v>
      </c>
      <c r="J68" s="85">
        <f t="shared" si="2"/>
        <v>2751.3623272727291</v>
      </c>
      <c r="K68" s="31" t="s">
        <v>79</v>
      </c>
      <c r="L68" s="91"/>
      <c r="M68" s="40" t="s">
        <v>81</v>
      </c>
    </row>
    <row r="69" spans="1:13">
      <c r="A69" s="69">
        <v>42682003</v>
      </c>
      <c r="B69" s="377"/>
      <c r="C69" s="377">
        <v>37691</v>
      </c>
      <c r="D69" s="118">
        <v>165532013</v>
      </c>
      <c r="E69" s="118" t="s">
        <v>323</v>
      </c>
      <c r="F69" s="120">
        <v>47582.05</v>
      </c>
      <c r="G69" s="85">
        <f t="shared" si="0"/>
        <v>4325.6409090909092</v>
      </c>
      <c r="H69" s="37">
        <v>0.1</v>
      </c>
      <c r="I69" s="85">
        <f t="shared" si="1"/>
        <v>4325.6409090909146</v>
      </c>
      <c r="J69" s="89">
        <f t="shared" si="2"/>
        <v>2768.4101818181853</v>
      </c>
      <c r="K69" s="65" t="s">
        <v>166</v>
      </c>
      <c r="L69" s="91"/>
      <c r="M69" s="40" t="s">
        <v>81</v>
      </c>
    </row>
    <row r="70" spans="1:13">
      <c r="A70" s="69">
        <v>42682003</v>
      </c>
      <c r="B70" s="377"/>
      <c r="C70" s="377">
        <v>37691</v>
      </c>
      <c r="D70" s="118">
        <v>165432013</v>
      </c>
      <c r="E70" s="118" t="s">
        <v>324</v>
      </c>
      <c r="F70" s="120">
        <v>35846.07</v>
      </c>
      <c r="G70" s="85">
        <f t="shared" si="0"/>
        <v>3258.7336363636364</v>
      </c>
      <c r="H70" s="37">
        <v>0.1</v>
      </c>
      <c r="I70" s="85">
        <f t="shared" si="1"/>
        <v>3258.7336363636387</v>
      </c>
      <c r="J70" s="85">
        <f t="shared" si="2"/>
        <v>2085.5895272727289</v>
      </c>
      <c r="K70" s="31" t="s">
        <v>79</v>
      </c>
      <c r="L70" s="91"/>
      <c r="M70" s="40" t="s">
        <v>81</v>
      </c>
    </row>
    <row r="71" spans="1:13">
      <c r="A71" s="69">
        <v>42682003</v>
      </c>
      <c r="B71" s="377"/>
      <c r="C71" s="377">
        <v>37691</v>
      </c>
      <c r="D71" s="118">
        <v>165402013</v>
      </c>
      <c r="E71" s="118" t="s">
        <v>326</v>
      </c>
      <c r="F71" s="120">
        <v>53202.65</v>
      </c>
      <c r="G71" s="85">
        <f t="shared" si="0"/>
        <v>4836.6045454545447</v>
      </c>
      <c r="H71" s="37">
        <v>0.1</v>
      </c>
      <c r="I71" s="85">
        <f t="shared" si="1"/>
        <v>4836.6045454545529</v>
      </c>
      <c r="J71" s="89">
        <f t="shared" si="2"/>
        <v>3095.4269090909138</v>
      </c>
      <c r="K71" s="65" t="s">
        <v>327</v>
      </c>
      <c r="L71" s="91"/>
      <c r="M71" s="40" t="s">
        <v>81</v>
      </c>
    </row>
    <row r="72" spans="1:13">
      <c r="A72" s="93">
        <v>42682003</v>
      </c>
      <c r="B72" s="131"/>
      <c r="C72" s="131">
        <v>37691</v>
      </c>
      <c r="D72" s="132">
        <v>165422013</v>
      </c>
      <c r="E72" s="133" t="s">
        <v>328</v>
      </c>
      <c r="F72" s="134">
        <v>48846.85</v>
      </c>
      <c r="G72" s="99">
        <f t="shared" si="0"/>
        <v>4440.6227272727265</v>
      </c>
      <c r="H72" s="55">
        <v>0.1</v>
      </c>
      <c r="I72" s="99">
        <f t="shared" si="1"/>
        <v>4440.6227272727338</v>
      </c>
      <c r="J72" s="99">
        <f t="shared" si="2"/>
        <v>2841.9985454545495</v>
      </c>
      <c r="K72" s="48" t="s">
        <v>79</v>
      </c>
      <c r="L72" s="104"/>
      <c r="M72" s="60" t="s">
        <v>81</v>
      </c>
    </row>
    <row r="73" spans="1:13">
      <c r="A73" s="192">
        <v>47752005</v>
      </c>
      <c r="B73" s="383"/>
      <c r="C73" s="383">
        <v>38427</v>
      </c>
      <c r="D73" s="384">
        <v>262052013</v>
      </c>
      <c r="E73" s="385" t="s">
        <v>334</v>
      </c>
      <c r="F73" s="386">
        <v>28700.81</v>
      </c>
      <c r="G73" s="198">
        <f t="shared" si="0"/>
        <v>2609.1645454545455</v>
      </c>
      <c r="H73" s="101">
        <v>0.1</v>
      </c>
      <c r="I73" s="198">
        <f t="shared" si="1"/>
        <v>2609.1645454545469</v>
      </c>
      <c r="J73" s="198">
        <f t="shared" si="2"/>
        <v>1716.830270909092</v>
      </c>
      <c r="K73" s="96" t="s">
        <v>79</v>
      </c>
      <c r="L73" s="211"/>
      <c r="M73" s="107" t="s">
        <v>81</v>
      </c>
    </row>
    <row r="74" spans="1:13">
      <c r="A74" s="192">
        <v>51662000</v>
      </c>
      <c r="B74" s="389" t="s">
        <v>22</v>
      </c>
      <c r="C74" s="383">
        <v>36634</v>
      </c>
      <c r="D74" s="384">
        <v>280402013</v>
      </c>
      <c r="E74" s="385" t="s">
        <v>340</v>
      </c>
      <c r="F74" s="386">
        <v>71107.03</v>
      </c>
      <c r="G74" s="198">
        <f t="shared" si="0"/>
        <v>6183.2200000000012</v>
      </c>
      <c r="H74" s="101">
        <v>0.15</v>
      </c>
      <c r="I74" s="198">
        <f t="shared" si="1"/>
        <v>9274.8299999999945</v>
      </c>
      <c r="J74" s="198">
        <f t="shared" si="2"/>
        <v>9274.8299999999945</v>
      </c>
      <c r="K74" s="96" t="s">
        <v>79</v>
      </c>
      <c r="L74" s="211"/>
      <c r="M74" s="107" t="s">
        <v>81</v>
      </c>
    </row>
    <row r="75" spans="1:13">
      <c r="A75" s="390">
        <v>54832004</v>
      </c>
      <c r="B75" s="391"/>
      <c r="C75" s="391">
        <v>38082</v>
      </c>
      <c r="D75" s="392">
        <v>271212013</v>
      </c>
      <c r="E75" s="393" t="s">
        <v>207</v>
      </c>
      <c r="F75" s="394">
        <v>33730.79</v>
      </c>
      <c r="G75" s="396">
        <f t="shared" si="0"/>
        <v>3066.4354545454548</v>
      </c>
      <c r="H75" s="141">
        <v>0.1</v>
      </c>
      <c r="I75" s="396">
        <f t="shared" si="1"/>
        <v>3066.4354545454553</v>
      </c>
      <c r="J75" s="398">
        <f t="shared" si="2"/>
        <v>2017.7145290909098</v>
      </c>
      <c r="K75" s="144" t="s">
        <v>209</v>
      </c>
      <c r="L75" s="399"/>
      <c r="M75" s="146" t="s">
        <v>81</v>
      </c>
    </row>
    <row r="76" spans="1:13">
      <c r="A76" s="192">
        <v>72412000</v>
      </c>
      <c r="B76" s="383"/>
      <c r="C76" s="383">
        <v>36677</v>
      </c>
      <c r="D76" s="384">
        <v>282522013</v>
      </c>
      <c r="E76" s="385" t="s">
        <v>352</v>
      </c>
      <c r="F76" s="386">
        <v>73080.429999999993</v>
      </c>
      <c r="G76" s="198">
        <f t="shared" si="0"/>
        <v>6354.82</v>
      </c>
      <c r="H76" s="101">
        <v>0.15</v>
      </c>
      <c r="I76" s="198">
        <f t="shared" si="1"/>
        <v>9532.2299999999959</v>
      </c>
      <c r="J76" s="198">
        <f t="shared" si="2"/>
        <v>9532.2299999999959</v>
      </c>
      <c r="K76" s="96" t="s">
        <v>79</v>
      </c>
      <c r="L76" s="211"/>
      <c r="M76" s="107" t="s">
        <v>81</v>
      </c>
    </row>
    <row r="77" spans="1:13">
      <c r="A77" s="59">
        <v>74462008</v>
      </c>
      <c r="B77" s="106"/>
      <c r="C77" s="106">
        <v>39533</v>
      </c>
      <c r="D77" s="108">
        <v>271592013</v>
      </c>
      <c r="E77" s="110" t="s">
        <v>355</v>
      </c>
      <c r="F77" s="111">
        <v>139616.78</v>
      </c>
      <c r="G77" s="64">
        <f t="shared" si="0"/>
        <v>12692.434545454546</v>
      </c>
      <c r="H77" s="20">
        <v>0.1</v>
      </c>
      <c r="I77" s="64">
        <f t="shared" si="1"/>
        <v>12692.434545454555</v>
      </c>
      <c r="J77" s="64">
        <f t="shared" si="2"/>
        <v>8351.6219309090975</v>
      </c>
      <c r="K77" s="11" t="s">
        <v>79</v>
      </c>
      <c r="L77" s="67"/>
      <c r="M77" s="26" t="s">
        <v>81</v>
      </c>
    </row>
    <row r="78" spans="1:13">
      <c r="A78" s="217">
        <v>74462008</v>
      </c>
      <c r="B78" s="114"/>
      <c r="C78" s="114">
        <v>39533</v>
      </c>
      <c r="D78" s="116">
        <v>271572013</v>
      </c>
      <c r="E78" s="118" t="s">
        <v>359</v>
      </c>
      <c r="F78" s="120">
        <v>136741.85</v>
      </c>
      <c r="G78" s="85">
        <f t="shared" si="0"/>
        <v>12431.077272727272</v>
      </c>
      <c r="H78" s="37">
        <v>0.1</v>
      </c>
      <c r="I78" s="85">
        <f t="shared" si="1"/>
        <v>12431.077272727285</v>
      </c>
      <c r="J78" s="89">
        <f t="shared" si="2"/>
        <v>8179.6488454545542</v>
      </c>
      <c r="K78" s="65" t="s">
        <v>148</v>
      </c>
      <c r="L78" s="91"/>
      <c r="M78" s="40" t="s">
        <v>81</v>
      </c>
    </row>
    <row r="79" spans="1:13">
      <c r="A79" s="217">
        <v>74462008</v>
      </c>
      <c r="B79" s="114"/>
      <c r="C79" s="114">
        <v>39533</v>
      </c>
      <c r="D79" s="116">
        <v>271622013</v>
      </c>
      <c r="E79" s="118" t="s">
        <v>361</v>
      </c>
      <c r="F79" s="402">
        <v>33956.69</v>
      </c>
      <c r="G79" s="85">
        <f t="shared" si="0"/>
        <v>3086.9718181818184</v>
      </c>
      <c r="H79" s="37">
        <v>0.1</v>
      </c>
      <c r="I79" s="85">
        <f t="shared" si="1"/>
        <v>3086.9718181818207</v>
      </c>
      <c r="J79" s="85">
        <f t="shared" si="2"/>
        <v>2031.2274563636381</v>
      </c>
      <c r="K79" s="31" t="s">
        <v>79</v>
      </c>
      <c r="L79" s="91"/>
      <c r="M79" s="40" t="s">
        <v>81</v>
      </c>
    </row>
    <row r="80" spans="1:13">
      <c r="A80" s="223">
        <v>74462008</v>
      </c>
      <c r="B80" s="131"/>
      <c r="C80" s="131">
        <v>39533</v>
      </c>
      <c r="D80" s="132">
        <v>271502013</v>
      </c>
      <c r="E80" s="133" t="s">
        <v>364</v>
      </c>
      <c r="F80" s="405">
        <v>145200.46</v>
      </c>
      <c r="G80" s="99">
        <f t="shared" si="0"/>
        <v>13200.041818181817</v>
      </c>
      <c r="H80" s="55">
        <v>0.1</v>
      </c>
      <c r="I80" s="99">
        <f t="shared" si="1"/>
        <v>13200.041818181839</v>
      </c>
      <c r="J80" s="99">
        <f t="shared" si="2"/>
        <v>8685.627516363651</v>
      </c>
      <c r="K80" s="48" t="s">
        <v>79</v>
      </c>
      <c r="L80" s="104"/>
      <c r="M80" s="60" t="s">
        <v>81</v>
      </c>
    </row>
    <row r="81" spans="1:13">
      <c r="A81" s="406">
        <v>74582008</v>
      </c>
      <c r="B81" s="407" t="s">
        <v>22</v>
      </c>
      <c r="C81" s="408">
        <v>39533</v>
      </c>
      <c r="D81" s="409">
        <v>371602012</v>
      </c>
      <c r="E81" s="410" t="s">
        <v>369</v>
      </c>
      <c r="F81" s="411">
        <v>119747.19</v>
      </c>
      <c r="G81" s="413">
        <f t="shared" si="0"/>
        <v>10886.108181818183</v>
      </c>
      <c r="H81" s="414">
        <v>0.1</v>
      </c>
      <c r="I81" s="413">
        <f t="shared" si="1"/>
        <v>10886.108181818185</v>
      </c>
      <c r="J81" s="413">
        <f t="shared" si="2"/>
        <v>7163.0591836363656</v>
      </c>
      <c r="K81" s="415" t="s">
        <v>375</v>
      </c>
      <c r="L81" s="211"/>
      <c r="M81" s="107" t="s">
        <v>81</v>
      </c>
    </row>
    <row r="82" spans="1:13">
      <c r="A82" s="416">
        <v>76802000</v>
      </c>
      <c r="B82" s="417"/>
      <c r="C82" s="417">
        <v>36685</v>
      </c>
      <c r="D82" s="419">
        <v>26412013</v>
      </c>
      <c r="E82" s="193" t="s">
        <v>381</v>
      </c>
      <c r="F82" s="422">
        <v>74216.08</v>
      </c>
      <c r="G82" s="424">
        <f t="shared" si="0"/>
        <v>6746.9163636363637</v>
      </c>
      <c r="H82" s="200">
        <v>0.1</v>
      </c>
      <c r="I82" s="424">
        <f t="shared" si="1"/>
        <v>6746.9163636363664</v>
      </c>
      <c r="J82" s="427">
        <f t="shared" si="2"/>
        <v>6746.9163636363664</v>
      </c>
      <c r="K82" s="433" t="s">
        <v>387</v>
      </c>
      <c r="L82" s="67"/>
      <c r="M82" s="26" t="s">
        <v>81</v>
      </c>
    </row>
    <row r="83" spans="1:13">
      <c r="A83" s="69">
        <v>76802000</v>
      </c>
      <c r="B83" s="71"/>
      <c r="C83" s="71">
        <v>36685</v>
      </c>
      <c r="D83" s="73">
        <v>26452013</v>
      </c>
      <c r="E83" s="31" t="s">
        <v>391</v>
      </c>
      <c r="F83" s="75">
        <v>66484.23</v>
      </c>
      <c r="G83" s="85">
        <f t="shared" si="0"/>
        <v>6044.0209090909084</v>
      </c>
      <c r="H83" s="37">
        <v>0.1</v>
      </c>
      <c r="I83" s="85">
        <f t="shared" si="1"/>
        <v>6044.020909090912</v>
      </c>
      <c r="J83" s="89">
        <f t="shared" si="2"/>
        <v>6044.020909090912</v>
      </c>
      <c r="K83" s="65" t="s">
        <v>148</v>
      </c>
      <c r="L83" s="91"/>
      <c r="M83" s="40" t="s">
        <v>81</v>
      </c>
    </row>
    <row r="84" spans="1:13">
      <c r="A84" s="217">
        <v>76802000</v>
      </c>
      <c r="B84" s="114"/>
      <c r="C84" s="114">
        <v>36685</v>
      </c>
      <c r="D84" s="116">
        <v>26312013</v>
      </c>
      <c r="E84" s="118" t="s">
        <v>393</v>
      </c>
      <c r="F84" s="120">
        <v>35924.239999999998</v>
      </c>
      <c r="G84" s="85">
        <f t="shared" si="0"/>
        <v>3265.8399999999997</v>
      </c>
      <c r="H84" s="37">
        <v>0.1</v>
      </c>
      <c r="I84" s="85">
        <f t="shared" si="1"/>
        <v>3265.8400000000038</v>
      </c>
      <c r="J84" s="243">
        <f t="shared" si="2"/>
        <v>3265.8400000000038</v>
      </c>
      <c r="K84" s="129" t="s">
        <v>166</v>
      </c>
      <c r="L84" s="91"/>
      <c r="M84" s="40" t="s">
        <v>81</v>
      </c>
    </row>
    <row r="85" spans="1:13">
      <c r="A85" s="93">
        <v>76802000</v>
      </c>
      <c r="B85" s="95"/>
      <c r="C85" s="95">
        <v>36685</v>
      </c>
      <c r="D85" s="97">
        <v>26302013</v>
      </c>
      <c r="E85" s="48" t="s">
        <v>396</v>
      </c>
      <c r="F85" s="88">
        <v>127034.14</v>
      </c>
      <c r="G85" s="99">
        <f t="shared" si="0"/>
        <v>11548.558181818182</v>
      </c>
      <c r="H85" s="55">
        <v>0.1</v>
      </c>
      <c r="I85" s="99">
        <f t="shared" si="1"/>
        <v>11548.558181818196</v>
      </c>
      <c r="J85" s="99">
        <f t="shared" si="2"/>
        <v>11548.558181818196</v>
      </c>
      <c r="K85" s="48" t="s">
        <v>79</v>
      </c>
      <c r="L85" s="104"/>
      <c r="M85" s="60" t="s">
        <v>81</v>
      </c>
    </row>
    <row r="86" spans="1:13">
      <c r="A86" s="59">
        <v>83152008</v>
      </c>
      <c r="B86" s="106"/>
      <c r="C86" s="106">
        <v>39542</v>
      </c>
      <c r="D86" s="108">
        <v>278072013</v>
      </c>
      <c r="E86" s="110" t="s">
        <v>399</v>
      </c>
      <c r="F86" s="111">
        <v>127256.02</v>
      </c>
      <c r="G86" s="64">
        <f t="shared" si="0"/>
        <v>11568.729090909092</v>
      </c>
      <c r="H86" s="20">
        <v>0.1</v>
      </c>
      <c r="I86" s="64">
        <f t="shared" si="1"/>
        <v>11568.729090909095</v>
      </c>
      <c r="J86" s="64">
        <f t="shared" si="2"/>
        <v>7612.2237418181849</v>
      </c>
      <c r="K86" s="11" t="s">
        <v>79</v>
      </c>
      <c r="L86" s="67"/>
      <c r="M86" s="26" t="s">
        <v>81</v>
      </c>
    </row>
    <row r="87" spans="1:13">
      <c r="A87" s="69">
        <v>83152008</v>
      </c>
      <c r="B87" s="114"/>
      <c r="C87" s="114">
        <v>39542</v>
      </c>
      <c r="D87" s="116">
        <v>278122013</v>
      </c>
      <c r="E87" s="118" t="s">
        <v>403</v>
      </c>
      <c r="F87" s="120">
        <v>139385.20000000001</v>
      </c>
      <c r="G87" s="85">
        <f t="shared" si="0"/>
        <v>12671.381818181819</v>
      </c>
      <c r="H87" s="37">
        <v>0.1</v>
      </c>
      <c r="I87" s="85">
        <f t="shared" si="1"/>
        <v>12671.381818181835</v>
      </c>
      <c r="J87" s="85">
        <f t="shared" si="2"/>
        <v>8337.769236363647</v>
      </c>
      <c r="K87" s="31" t="s">
        <v>79</v>
      </c>
      <c r="L87" s="91"/>
      <c r="M87" s="40" t="s">
        <v>81</v>
      </c>
    </row>
    <row r="88" spans="1:13">
      <c r="A88" s="93">
        <v>83152008</v>
      </c>
      <c r="B88" s="131"/>
      <c r="C88" s="131">
        <v>39542</v>
      </c>
      <c r="D88" s="132">
        <v>278112013</v>
      </c>
      <c r="E88" s="133" t="s">
        <v>406</v>
      </c>
      <c r="F88" s="134">
        <v>135775.14000000001</v>
      </c>
      <c r="G88" s="99">
        <f t="shared" si="0"/>
        <v>12343.194545454546</v>
      </c>
      <c r="H88" s="55">
        <v>0.1</v>
      </c>
      <c r="I88" s="99">
        <f t="shared" si="1"/>
        <v>12343.194545454564</v>
      </c>
      <c r="J88" s="99">
        <f t="shared" si="2"/>
        <v>8121.8220109091035</v>
      </c>
      <c r="K88" s="48" t="s">
        <v>79</v>
      </c>
      <c r="L88" s="104"/>
      <c r="M88" s="60" t="s">
        <v>81</v>
      </c>
    </row>
    <row r="89" spans="1:13">
      <c r="A89" s="59">
        <v>93722008</v>
      </c>
      <c r="B89" s="106"/>
      <c r="C89" s="106">
        <v>39549</v>
      </c>
      <c r="D89" s="108">
        <v>277322013</v>
      </c>
      <c r="E89" s="110" t="s">
        <v>408</v>
      </c>
      <c r="F89" s="111">
        <v>86903.55</v>
      </c>
      <c r="G89" s="64">
        <f t="shared" si="0"/>
        <v>7900.3227272727272</v>
      </c>
      <c r="H89" s="20">
        <v>0.1</v>
      </c>
      <c r="I89" s="64">
        <f t="shared" si="1"/>
        <v>7900.3227272727381</v>
      </c>
      <c r="J89" s="64">
        <f t="shared" si="2"/>
        <v>5198.4123545454622</v>
      </c>
      <c r="K89" s="11" t="s">
        <v>79</v>
      </c>
      <c r="L89" s="67"/>
      <c r="M89" s="26" t="s">
        <v>81</v>
      </c>
    </row>
    <row r="90" spans="1:13">
      <c r="A90" s="69">
        <v>93722008</v>
      </c>
      <c r="B90" s="114"/>
      <c r="C90" s="114">
        <v>39549</v>
      </c>
      <c r="D90" s="116">
        <v>277362013</v>
      </c>
      <c r="E90" s="118" t="s">
        <v>411</v>
      </c>
      <c r="F90" s="120">
        <v>84404.51</v>
      </c>
      <c r="G90" s="85">
        <f t="shared" si="0"/>
        <v>7673.1372727272719</v>
      </c>
      <c r="H90" s="37">
        <v>0.1</v>
      </c>
      <c r="I90" s="85">
        <f t="shared" si="1"/>
        <v>7673.1372727272828</v>
      </c>
      <c r="J90" s="85">
        <f t="shared" si="2"/>
        <v>5048.9243254545527</v>
      </c>
      <c r="K90" s="31" t="s">
        <v>79</v>
      </c>
      <c r="L90" s="91"/>
      <c r="M90" s="40" t="s">
        <v>81</v>
      </c>
    </row>
    <row r="91" spans="1:13">
      <c r="A91" s="93">
        <v>93722008</v>
      </c>
      <c r="B91" s="131"/>
      <c r="C91" s="131">
        <v>39549</v>
      </c>
      <c r="D91" s="132">
        <v>277342013</v>
      </c>
      <c r="E91" s="133" t="s">
        <v>413</v>
      </c>
      <c r="F91" s="134">
        <v>87306.26</v>
      </c>
      <c r="G91" s="99">
        <f t="shared" si="0"/>
        <v>7936.932727272726</v>
      </c>
      <c r="H91" s="55">
        <v>0.1</v>
      </c>
      <c r="I91" s="99">
        <f t="shared" si="1"/>
        <v>7936.9327272727387</v>
      </c>
      <c r="J91" s="99">
        <f t="shared" si="2"/>
        <v>5222.5017345454626</v>
      </c>
      <c r="K91" s="48" t="s">
        <v>79</v>
      </c>
      <c r="L91" s="104"/>
      <c r="M91" s="60" t="s">
        <v>81</v>
      </c>
    </row>
    <row r="92" spans="1:13">
      <c r="A92" s="192">
        <v>105082005</v>
      </c>
      <c r="B92" s="383"/>
      <c r="C92" s="383">
        <v>38479</v>
      </c>
      <c r="D92" s="384">
        <v>271472013</v>
      </c>
      <c r="E92" s="385" t="s">
        <v>417</v>
      </c>
      <c r="F92" s="386">
        <v>13406.46</v>
      </c>
      <c r="G92" s="198">
        <f t="shared" si="0"/>
        <v>1218.7690909090907</v>
      </c>
      <c r="H92" s="101">
        <v>0.1</v>
      </c>
      <c r="I92" s="198">
        <f t="shared" si="1"/>
        <v>1218.7690909090925</v>
      </c>
      <c r="J92" s="198">
        <f t="shared" si="2"/>
        <v>801.95006181818292</v>
      </c>
      <c r="K92" s="96" t="s">
        <v>79</v>
      </c>
      <c r="L92" s="211"/>
      <c r="M92" s="107" t="s">
        <v>81</v>
      </c>
    </row>
    <row r="93" spans="1:13">
      <c r="A93" s="192">
        <v>115512002</v>
      </c>
      <c r="B93" s="383"/>
      <c r="C93" s="383">
        <v>37442</v>
      </c>
      <c r="D93" s="384">
        <v>282172013</v>
      </c>
      <c r="E93" s="385" t="s">
        <v>420</v>
      </c>
      <c r="F93" s="386">
        <v>112799.15</v>
      </c>
      <c r="G93" s="198">
        <f t="shared" si="0"/>
        <v>10254.468181818182</v>
      </c>
      <c r="H93" s="101">
        <v>0.1</v>
      </c>
      <c r="I93" s="198">
        <f t="shared" si="1"/>
        <v>10254.468181818185</v>
      </c>
      <c r="J93" s="198">
        <f t="shared" si="2"/>
        <v>10254.468181818185</v>
      </c>
      <c r="K93" s="96" t="s">
        <v>79</v>
      </c>
      <c r="L93" s="211"/>
      <c r="M93" s="107" t="s">
        <v>81</v>
      </c>
    </row>
    <row r="94" spans="1:13">
      <c r="A94" s="59">
        <v>119992005</v>
      </c>
      <c r="B94" s="106"/>
      <c r="C94" s="106">
        <v>38531</v>
      </c>
      <c r="D94" s="108">
        <v>280322013</v>
      </c>
      <c r="E94" s="110" t="s">
        <v>424</v>
      </c>
      <c r="F94" s="111">
        <v>15090.28</v>
      </c>
      <c r="G94" s="64">
        <f t="shared" si="0"/>
        <v>1371.8436363636365</v>
      </c>
      <c r="H94" s="20">
        <v>0.1</v>
      </c>
      <c r="I94" s="64">
        <f t="shared" si="1"/>
        <v>1371.8436363636374</v>
      </c>
      <c r="J94" s="64">
        <f t="shared" si="2"/>
        <v>902.67311272727341</v>
      </c>
      <c r="K94" s="11" t="s">
        <v>79</v>
      </c>
      <c r="L94" s="67"/>
      <c r="M94" s="26" t="s">
        <v>81</v>
      </c>
    </row>
    <row r="95" spans="1:13">
      <c r="A95" s="93">
        <v>119992005</v>
      </c>
      <c r="B95" s="131"/>
      <c r="C95" s="131">
        <v>38531</v>
      </c>
      <c r="D95" s="132">
        <v>280392013</v>
      </c>
      <c r="E95" s="133" t="s">
        <v>427</v>
      </c>
      <c r="F95" s="134">
        <f>14038.78</f>
        <v>14038.78</v>
      </c>
      <c r="G95" s="99">
        <f t="shared" si="0"/>
        <v>1276.2527272727275</v>
      </c>
      <c r="H95" s="55">
        <v>0.1</v>
      </c>
      <c r="I95" s="99">
        <f t="shared" si="1"/>
        <v>1276.2527272727275</v>
      </c>
      <c r="J95" s="102">
        <f t="shared" si="2"/>
        <v>839.77429454545472</v>
      </c>
      <c r="K95" s="58" t="s">
        <v>166</v>
      </c>
      <c r="L95" s="104"/>
      <c r="M95" s="60" t="s">
        <v>81</v>
      </c>
    </row>
    <row r="96" spans="1:13">
      <c r="A96" s="192">
        <v>127162003</v>
      </c>
      <c r="B96" s="194"/>
      <c r="C96" s="194">
        <v>37832</v>
      </c>
      <c r="D96" s="154">
        <v>1072014</v>
      </c>
      <c r="E96" s="96" t="s">
        <v>434</v>
      </c>
      <c r="F96" s="109">
        <v>32745.9</v>
      </c>
      <c r="G96" s="198">
        <f t="shared" si="0"/>
        <v>2976.9</v>
      </c>
      <c r="H96" s="101">
        <v>0.1</v>
      </c>
      <c r="I96" s="198">
        <f t="shared" si="1"/>
        <v>2976.9000000000015</v>
      </c>
      <c r="J96" s="198">
        <f t="shared" si="2"/>
        <v>1905.216000000001</v>
      </c>
      <c r="K96" s="96" t="s">
        <v>79</v>
      </c>
      <c r="L96" s="211"/>
      <c r="M96" s="107" t="s">
        <v>81</v>
      </c>
    </row>
    <row r="97" spans="1:13">
      <c r="A97" s="59">
        <v>132182000</v>
      </c>
      <c r="B97" s="106"/>
      <c r="C97" s="106">
        <v>36808</v>
      </c>
      <c r="D97" s="108">
        <v>284062013</v>
      </c>
      <c r="E97" s="110" t="s">
        <v>438</v>
      </c>
      <c r="F97" s="111">
        <v>47311.17</v>
      </c>
      <c r="G97" s="64">
        <f t="shared" si="0"/>
        <v>4301.0154545454543</v>
      </c>
      <c r="H97" s="20">
        <v>0.1</v>
      </c>
      <c r="I97" s="64">
        <f t="shared" si="1"/>
        <v>4301.015454545457</v>
      </c>
      <c r="J97" s="64">
        <f t="shared" si="2"/>
        <v>4301.015454545457</v>
      </c>
      <c r="K97" s="11" t="s">
        <v>79</v>
      </c>
      <c r="L97" s="67"/>
      <c r="M97" s="26" t="s">
        <v>81</v>
      </c>
    </row>
    <row r="98" spans="1:13">
      <c r="A98" s="223">
        <v>132182000</v>
      </c>
      <c r="B98" s="358"/>
      <c r="C98" s="358">
        <v>36808</v>
      </c>
      <c r="D98" s="133">
        <v>283642013</v>
      </c>
      <c r="E98" s="133" t="s">
        <v>442</v>
      </c>
      <c r="F98" s="134">
        <v>75157.08</v>
      </c>
      <c r="G98" s="99">
        <f t="shared" si="0"/>
        <v>6832.4618181818187</v>
      </c>
      <c r="H98" s="55">
        <v>0.1</v>
      </c>
      <c r="I98" s="99">
        <f t="shared" si="1"/>
        <v>6832.4618181818223</v>
      </c>
      <c r="J98" s="292">
        <f t="shared" si="2"/>
        <v>6832.4618181818223</v>
      </c>
      <c r="K98" s="133" t="s">
        <v>79</v>
      </c>
      <c r="L98" s="104"/>
      <c r="M98" s="60" t="s">
        <v>81</v>
      </c>
    </row>
    <row r="99" spans="1:13">
      <c r="A99" s="214">
        <v>134722008</v>
      </c>
      <c r="B99" s="106"/>
      <c r="C99" s="106">
        <v>39591</v>
      </c>
      <c r="D99" s="108">
        <v>268052013</v>
      </c>
      <c r="E99" s="110" t="s">
        <v>446</v>
      </c>
      <c r="F99" s="111">
        <v>104633.36</v>
      </c>
      <c r="G99" s="64">
        <f t="shared" si="0"/>
        <v>9512.1236363636363</v>
      </c>
      <c r="H99" s="20">
        <v>0.1</v>
      </c>
      <c r="I99" s="64">
        <f t="shared" si="1"/>
        <v>9512.1236363636417</v>
      </c>
      <c r="J99" s="216">
        <f t="shared" si="2"/>
        <v>6258.9773527272764</v>
      </c>
      <c r="K99" s="110" t="s">
        <v>79</v>
      </c>
      <c r="L99" s="67"/>
      <c r="M99" s="26" t="s">
        <v>81</v>
      </c>
    </row>
    <row r="100" spans="1:13">
      <c r="A100" s="223">
        <v>134722008</v>
      </c>
      <c r="B100" s="131"/>
      <c r="C100" s="131">
        <v>39591</v>
      </c>
      <c r="D100" s="132">
        <v>268042013</v>
      </c>
      <c r="E100" s="133" t="s">
        <v>450</v>
      </c>
      <c r="F100" s="134">
        <v>86499.63</v>
      </c>
      <c r="G100" s="99">
        <f t="shared" si="0"/>
        <v>7863.602727272727</v>
      </c>
      <c r="H100" s="55">
        <v>0.1</v>
      </c>
      <c r="I100" s="99">
        <f t="shared" si="1"/>
        <v>7863.602727272737</v>
      </c>
      <c r="J100" s="292">
        <f t="shared" si="2"/>
        <v>5174.2505945454614</v>
      </c>
      <c r="K100" s="133" t="s">
        <v>79</v>
      </c>
      <c r="L100" s="104"/>
      <c r="M100" s="60" t="s">
        <v>81</v>
      </c>
    </row>
    <row r="101" spans="1:13">
      <c r="A101" s="59">
        <v>141662007</v>
      </c>
      <c r="B101" s="61"/>
      <c r="C101" s="61">
        <v>39246</v>
      </c>
      <c r="D101" s="62">
        <v>416292012</v>
      </c>
      <c r="E101" s="11" t="s">
        <v>454</v>
      </c>
      <c r="F101" s="63">
        <v>145085.85999999999</v>
      </c>
      <c r="G101" s="64">
        <f t="shared" si="0"/>
        <v>13189.623636363634</v>
      </c>
      <c r="H101" s="20">
        <v>0.1</v>
      </c>
      <c r="I101" s="64">
        <f t="shared" si="1"/>
        <v>13189.623636363656</v>
      </c>
      <c r="J101" s="64">
        <f t="shared" si="2"/>
        <v>8678.7723527272865</v>
      </c>
      <c r="K101" s="11" t="s">
        <v>79</v>
      </c>
      <c r="L101" s="67"/>
      <c r="M101" s="26" t="s">
        <v>81</v>
      </c>
    </row>
    <row r="102" spans="1:13">
      <c r="A102" s="69">
        <v>141662007</v>
      </c>
      <c r="B102" s="71"/>
      <c r="C102" s="71">
        <v>39246</v>
      </c>
      <c r="D102" s="73">
        <v>416312012</v>
      </c>
      <c r="E102" s="31" t="s">
        <v>458</v>
      </c>
      <c r="F102" s="75">
        <v>162987.78</v>
      </c>
      <c r="G102" s="85">
        <f t="shared" si="0"/>
        <v>14817.070909090908</v>
      </c>
      <c r="H102" s="37">
        <v>0.1</v>
      </c>
      <c r="I102" s="85">
        <f t="shared" si="1"/>
        <v>14817.070909090922</v>
      </c>
      <c r="J102" s="85">
        <f t="shared" si="2"/>
        <v>9749.6326581818266</v>
      </c>
      <c r="K102" s="31" t="s">
        <v>79</v>
      </c>
      <c r="L102" s="91"/>
      <c r="M102" s="40" t="s">
        <v>81</v>
      </c>
    </row>
    <row r="103" spans="1:13">
      <c r="A103" s="93">
        <v>141662007</v>
      </c>
      <c r="B103" s="95"/>
      <c r="C103" s="95">
        <v>39246</v>
      </c>
      <c r="D103" s="97">
        <v>416492012</v>
      </c>
      <c r="E103" s="48" t="s">
        <v>462</v>
      </c>
      <c r="F103" s="88">
        <v>114803.31</v>
      </c>
      <c r="G103" s="99">
        <f t="shared" si="0"/>
        <v>10436.664545454545</v>
      </c>
      <c r="H103" s="55">
        <v>0.1</v>
      </c>
      <c r="I103" s="99">
        <f t="shared" si="1"/>
        <v>10436.664545454551</v>
      </c>
      <c r="J103" s="99">
        <f t="shared" si="2"/>
        <v>6867.3252709090948</v>
      </c>
      <c r="K103" s="48" t="s">
        <v>79</v>
      </c>
      <c r="L103" s="104"/>
      <c r="M103" s="60" t="s">
        <v>81</v>
      </c>
    </row>
    <row r="104" spans="1:13">
      <c r="A104" s="192">
        <v>144362006</v>
      </c>
      <c r="B104" s="194"/>
      <c r="C104" s="194">
        <v>38884</v>
      </c>
      <c r="D104" s="154">
        <v>208142013</v>
      </c>
      <c r="E104" s="241" t="s">
        <v>465</v>
      </c>
      <c r="F104" s="98">
        <v>212428.11</v>
      </c>
      <c r="G104" s="198">
        <f t="shared" si="0"/>
        <v>19311.646363636359</v>
      </c>
      <c r="H104" s="101">
        <v>0.1</v>
      </c>
      <c r="I104" s="198">
        <f t="shared" si="1"/>
        <v>19311.646363636391</v>
      </c>
      <c r="J104" s="441">
        <f t="shared" si="2"/>
        <v>12707.063307272747</v>
      </c>
      <c r="K104" s="233" t="s">
        <v>256</v>
      </c>
      <c r="L104" s="211"/>
      <c r="M104" s="107" t="s">
        <v>81</v>
      </c>
    </row>
    <row r="105" spans="1:13">
      <c r="A105" s="59">
        <v>165842002</v>
      </c>
      <c r="B105" s="106"/>
      <c r="C105" s="106">
        <v>37530</v>
      </c>
      <c r="D105" s="108">
        <v>239822013</v>
      </c>
      <c r="E105" s="110" t="s">
        <v>470</v>
      </c>
      <c r="F105" s="111">
        <v>121390.78</v>
      </c>
      <c r="G105" s="64">
        <f t="shared" si="0"/>
        <v>11035.525454545454</v>
      </c>
      <c r="H105" s="20">
        <v>0.1</v>
      </c>
      <c r="I105" s="64">
        <f t="shared" si="1"/>
        <v>11035.525454545466</v>
      </c>
      <c r="J105" s="127">
        <f t="shared" si="2"/>
        <v>7062.7362909090989</v>
      </c>
      <c r="K105" s="68" t="s">
        <v>471</v>
      </c>
      <c r="L105" s="67"/>
      <c r="M105" s="26" t="s">
        <v>81</v>
      </c>
    </row>
    <row r="106" spans="1:13">
      <c r="A106" s="93">
        <v>165842002</v>
      </c>
      <c r="B106" s="131"/>
      <c r="C106" s="131">
        <v>37530</v>
      </c>
      <c r="D106" s="132">
        <v>239802013</v>
      </c>
      <c r="E106" s="133" t="s">
        <v>474</v>
      </c>
      <c r="F106" s="134">
        <v>96488.91</v>
      </c>
      <c r="G106" s="99">
        <f t="shared" si="0"/>
        <v>8771.7190909090914</v>
      </c>
      <c r="H106" s="55">
        <v>0.1</v>
      </c>
      <c r="I106" s="99">
        <f t="shared" si="1"/>
        <v>8771.7190909091005</v>
      </c>
      <c r="J106" s="99">
        <f t="shared" si="2"/>
        <v>5613.9002181818241</v>
      </c>
      <c r="K106" s="48" t="s">
        <v>79</v>
      </c>
      <c r="L106" s="104"/>
      <c r="M106" s="60" t="s">
        <v>81</v>
      </c>
    </row>
    <row r="107" spans="1:13">
      <c r="A107" s="214">
        <v>166562002</v>
      </c>
      <c r="B107" s="106"/>
      <c r="C107" s="106">
        <v>37531</v>
      </c>
      <c r="D107" s="108">
        <v>266222013</v>
      </c>
      <c r="E107" s="110" t="s">
        <v>476</v>
      </c>
      <c r="F107" s="111">
        <v>85310.65</v>
      </c>
      <c r="G107" s="64">
        <f t="shared" si="0"/>
        <v>8124.8238095238094</v>
      </c>
      <c r="H107" s="20">
        <v>0.05</v>
      </c>
      <c r="I107" s="64">
        <f t="shared" si="1"/>
        <v>4062.4119047619024</v>
      </c>
      <c r="J107" s="216">
        <f t="shared" si="2"/>
        <v>2599.9436190476176</v>
      </c>
      <c r="K107" s="110" t="s">
        <v>79</v>
      </c>
      <c r="L107" s="67"/>
      <c r="M107" s="26" t="s">
        <v>81</v>
      </c>
    </row>
    <row r="108" spans="1:13">
      <c r="A108" s="223">
        <v>166562002</v>
      </c>
      <c r="B108" s="131"/>
      <c r="C108" s="131">
        <v>37531</v>
      </c>
      <c r="D108" s="132">
        <v>266252013</v>
      </c>
      <c r="E108" s="133" t="s">
        <v>478</v>
      </c>
      <c r="F108" s="134">
        <v>80027.5</v>
      </c>
      <c r="G108" s="99">
        <f t="shared" si="0"/>
        <v>7621.6666666666661</v>
      </c>
      <c r="H108" s="55">
        <v>0.05</v>
      </c>
      <c r="I108" s="99">
        <f t="shared" si="1"/>
        <v>3810.833333333343</v>
      </c>
      <c r="J108" s="292">
        <f t="shared" si="2"/>
        <v>2438.9333333333398</v>
      </c>
      <c r="K108" s="133" t="s">
        <v>79</v>
      </c>
      <c r="L108" s="104"/>
      <c r="M108" s="60" t="s">
        <v>81</v>
      </c>
    </row>
    <row r="109" spans="1:13">
      <c r="A109" s="192">
        <v>168502002</v>
      </c>
      <c r="B109" s="445"/>
      <c r="C109" s="445">
        <v>37533</v>
      </c>
      <c r="D109" s="446">
        <v>171762013</v>
      </c>
      <c r="E109" s="96" t="s">
        <v>159</v>
      </c>
      <c r="F109" s="109">
        <v>31169.14</v>
      </c>
      <c r="G109" s="202">
        <f t="shared" si="0"/>
        <v>3116.9140000000002</v>
      </c>
      <c r="H109" s="101">
        <v>0</v>
      </c>
      <c r="I109" s="198">
        <f t="shared" si="1"/>
        <v>0</v>
      </c>
      <c r="J109" s="198">
        <f t="shared" si="2"/>
        <v>0</v>
      </c>
      <c r="K109" s="96" t="s">
        <v>79</v>
      </c>
      <c r="L109" s="211"/>
      <c r="M109" s="107" t="s">
        <v>81</v>
      </c>
    </row>
    <row r="110" spans="1:13">
      <c r="A110" s="59">
        <v>181022004</v>
      </c>
      <c r="B110" s="61"/>
      <c r="C110" s="61">
        <v>38274</v>
      </c>
      <c r="D110" s="62">
        <v>371802012</v>
      </c>
      <c r="E110" s="11" t="s">
        <v>488</v>
      </c>
      <c r="F110" s="63">
        <v>168146.43</v>
      </c>
      <c r="G110" s="64">
        <f t="shared" si="0"/>
        <v>15286.039090909091</v>
      </c>
      <c r="H110" s="20">
        <v>0.1</v>
      </c>
      <c r="I110" s="64">
        <f t="shared" si="1"/>
        <v>15286.039090909093</v>
      </c>
      <c r="J110" s="64">
        <f t="shared" si="2"/>
        <v>10058.213721818183</v>
      </c>
      <c r="K110" s="11" t="s">
        <v>79</v>
      </c>
      <c r="L110" s="67"/>
      <c r="M110" s="26" t="s">
        <v>81</v>
      </c>
    </row>
    <row r="111" spans="1:13">
      <c r="A111" s="69">
        <v>181022004</v>
      </c>
      <c r="B111" s="71"/>
      <c r="C111" s="71">
        <v>38274</v>
      </c>
      <c r="D111" s="73">
        <v>371942012</v>
      </c>
      <c r="E111" s="31" t="s">
        <v>454</v>
      </c>
      <c r="F111" s="75">
        <v>170258.74</v>
      </c>
      <c r="G111" s="85">
        <f t="shared" si="0"/>
        <v>15478.06727272727</v>
      </c>
      <c r="H111" s="37">
        <v>0.1</v>
      </c>
      <c r="I111" s="85">
        <f t="shared" si="1"/>
        <v>15478.06727272729</v>
      </c>
      <c r="J111" s="85">
        <f t="shared" si="2"/>
        <v>10184.568265454558</v>
      </c>
      <c r="K111" s="31" t="s">
        <v>79</v>
      </c>
      <c r="L111" s="91"/>
      <c r="M111" s="40" t="s">
        <v>81</v>
      </c>
    </row>
    <row r="112" spans="1:13">
      <c r="A112" s="93">
        <v>181022004</v>
      </c>
      <c r="B112" s="95"/>
      <c r="C112" s="95">
        <v>38274</v>
      </c>
      <c r="D112" s="97">
        <v>371752012</v>
      </c>
      <c r="E112" s="48" t="s">
        <v>493</v>
      </c>
      <c r="F112" s="88">
        <v>147981.04</v>
      </c>
      <c r="G112" s="99">
        <f t="shared" si="0"/>
        <v>13452.821818181817</v>
      </c>
      <c r="H112" s="55">
        <v>0.1</v>
      </c>
      <c r="I112" s="99">
        <f t="shared" si="1"/>
        <v>13452.821818181837</v>
      </c>
      <c r="J112" s="99">
        <f t="shared" si="2"/>
        <v>8851.9567563636501</v>
      </c>
      <c r="K112" s="48" t="s">
        <v>79</v>
      </c>
      <c r="L112" s="104"/>
      <c r="M112" s="60" t="s">
        <v>81</v>
      </c>
    </row>
    <row r="113" spans="1:13">
      <c r="A113" s="59">
        <v>181472004</v>
      </c>
      <c r="B113" s="61"/>
      <c r="C113" s="61">
        <v>38274</v>
      </c>
      <c r="D113" s="62">
        <v>262082013</v>
      </c>
      <c r="E113" s="11" t="s">
        <v>497</v>
      </c>
      <c r="F113" s="63">
        <v>168548.06</v>
      </c>
      <c r="G113" s="64">
        <f t="shared" si="0"/>
        <v>15322.550909090907</v>
      </c>
      <c r="H113" s="20">
        <v>0.1</v>
      </c>
      <c r="I113" s="64">
        <f t="shared" si="1"/>
        <v>15322.550909090933</v>
      </c>
      <c r="J113" s="64">
        <f t="shared" si="2"/>
        <v>10082.238498181834</v>
      </c>
      <c r="K113" s="11" t="s">
        <v>79</v>
      </c>
      <c r="L113" s="67"/>
      <c r="M113" s="26" t="s">
        <v>81</v>
      </c>
    </row>
    <row r="114" spans="1:13">
      <c r="A114" s="69">
        <v>181472004</v>
      </c>
      <c r="B114" s="71"/>
      <c r="C114" s="71">
        <v>38274</v>
      </c>
      <c r="D114" s="73">
        <v>262132013</v>
      </c>
      <c r="E114" s="31" t="s">
        <v>501</v>
      </c>
      <c r="F114" s="75">
        <v>204265.99</v>
      </c>
      <c r="G114" s="85">
        <f t="shared" si="0"/>
        <v>18569.635454545452</v>
      </c>
      <c r="H114" s="37">
        <v>0.1</v>
      </c>
      <c r="I114" s="85">
        <f t="shared" si="1"/>
        <v>18569.635454545467</v>
      </c>
      <c r="J114" s="89">
        <f t="shared" si="2"/>
        <v>12218.820129090918</v>
      </c>
      <c r="K114" s="65" t="s">
        <v>148</v>
      </c>
      <c r="L114" s="91"/>
      <c r="M114" s="40" t="s">
        <v>81</v>
      </c>
    </row>
    <row r="115" spans="1:13">
      <c r="A115" s="93">
        <v>181472004</v>
      </c>
      <c r="B115" s="131"/>
      <c r="C115" s="131">
        <v>38274</v>
      </c>
      <c r="D115" s="132">
        <v>262102013</v>
      </c>
      <c r="E115" s="133" t="s">
        <v>504</v>
      </c>
      <c r="F115" s="134">
        <v>163922.04999999999</v>
      </c>
      <c r="G115" s="99">
        <f t="shared" si="0"/>
        <v>14902.004545454545</v>
      </c>
      <c r="H115" s="55">
        <v>0.1</v>
      </c>
      <c r="I115" s="99">
        <f t="shared" si="1"/>
        <v>14902.004545454547</v>
      </c>
      <c r="J115" s="99">
        <f t="shared" si="2"/>
        <v>9805.5189909090932</v>
      </c>
      <c r="K115" s="48" t="s">
        <v>79</v>
      </c>
      <c r="L115" s="104"/>
      <c r="M115" s="60" t="s">
        <v>81</v>
      </c>
    </row>
    <row r="116" spans="1:13">
      <c r="A116" s="59">
        <v>185072002</v>
      </c>
      <c r="B116" s="106"/>
      <c r="C116" s="106">
        <v>37560</v>
      </c>
      <c r="D116" s="108">
        <v>165322013</v>
      </c>
      <c r="E116" s="110" t="s">
        <v>508</v>
      </c>
      <c r="F116" s="111">
        <v>18905.32</v>
      </c>
      <c r="G116" s="64">
        <f t="shared" si="0"/>
        <v>1718.6654545454546</v>
      </c>
      <c r="H116" s="20">
        <v>0.1</v>
      </c>
      <c r="I116" s="64">
        <f t="shared" si="1"/>
        <v>1718.6654545454548</v>
      </c>
      <c r="J116" s="64">
        <f t="shared" si="2"/>
        <v>1099.9458909090911</v>
      </c>
      <c r="K116" s="11" t="s">
        <v>79</v>
      </c>
      <c r="L116" s="67"/>
      <c r="M116" s="26" t="s">
        <v>81</v>
      </c>
    </row>
    <row r="117" spans="1:13">
      <c r="A117" s="69">
        <v>185072002</v>
      </c>
      <c r="B117" s="71"/>
      <c r="C117" s="71">
        <v>37560</v>
      </c>
      <c r="D117" s="73">
        <v>165362013</v>
      </c>
      <c r="E117" s="31" t="s">
        <v>511</v>
      </c>
      <c r="F117" s="75">
        <v>22419.85</v>
      </c>
      <c r="G117" s="85">
        <f t="shared" si="0"/>
        <v>2038.1681818181817</v>
      </c>
      <c r="H117" s="37">
        <v>0.1</v>
      </c>
      <c r="I117" s="85">
        <f t="shared" si="1"/>
        <v>2038.1681818181823</v>
      </c>
      <c r="J117" s="85">
        <f t="shared" si="2"/>
        <v>1304.4276363636368</v>
      </c>
      <c r="K117" s="31" t="s">
        <v>79</v>
      </c>
      <c r="L117" s="91"/>
      <c r="M117" s="40" t="s">
        <v>81</v>
      </c>
    </row>
    <row r="118" spans="1:13">
      <c r="A118" s="69">
        <v>185072002</v>
      </c>
      <c r="B118" s="71"/>
      <c r="C118" s="71">
        <v>37560</v>
      </c>
      <c r="D118" s="73">
        <v>165332013</v>
      </c>
      <c r="E118" s="31" t="s">
        <v>515</v>
      </c>
      <c r="F118" s="75">
        <v>29826.27</v>
      </c>
      <c r="G118" s="85">
        <f t="shared" si="0"/>
        <v>2711.4790909090912</v>
      </c>
      <c r="H118" s="37">
        <v>0.1</v>
      </c>
      <c r="I118" s="85">
        <f t="shared" si="1"/>
        <v>2711.4790909090916</v>
      </c>
      <c r="J118" s="85">
        <f t="shared" si="2"/>
        <v>1735.3466181818187</v>
      </c>
      <c r="K118" s="31" t="s">
        <v>79</v>
      </c>
      <c r="L118" s="91"/>
      <c r="M118" s="40" t="s">
        <v>81</v>
      </c>
    </row>
    <row r="119" spans="1:13">
      <c r="A119" s="69">
        <v>185072002</v>
      </c>
      <c r="B119" s="71"/>
      <c r="C119" s="71">
        <v>37560</v>
      </c>
      <c r="D119" s="73">
        <v>165282013</v>
      </c>
      <c r="E119" s="31" t="s">
        <v>519</v>
      </c>
      <c r="F119" s="75">
        <v>251895.53</v>
      </c>
      <c r="G119" s="85">
        <f t="shared" si="0"/>
        <v>22899.593636363636</v>
      </c>
      <c r="H119" s="37">
        <v>0.1</v>
      </c>
      <c r="I119" s="85">
        <f t="shared" si="1"/>
        <v>22899.593636363657</v>
      </c>
      <c r="J119" s="85">
        <f t="shared" si="2"/>
        <v>14655.739927272742</v>
      </c>
      <c r="K119" s="31" t="s">
        <v>79</v>
      </c>
      <c r="L119" s="91"/>
      <c r="M119" s="40" t="s">
        <v>81</v>
      </c>
    </row>
    <row r="120" spans="1:13">
      <c r="A120" s="223">
        <v>185072002</v>
      </c>
      <c r="B120" s="131"/>
      <c r="C120" s="131">
        <v>37560</v>
      </c>
      <c r="D120" s="132">
        <v>165372013</v>
      </c>
      <c r="E120" s="133" t="s">
        <v>524</v>
      </c>
      <c r="F120" s="134">
        <v>105912.07</v>
      </c>
      <c r="G120" s="99">
        <f t="shared" si="0"/>
        <v>9628.3700000000008</v>
      </c>
      <c r="H120" s="55">
        <v>0.1</v>
      </c>
      <c r="I120" s="99">
        <f t="shared" si="1"/>
        <v>9628.3700000000099</v>
      </c>
      <c r="J120" s="102">
        <f t="shared" si="2"/>
        <v>6162.1568000000061</v>
      </c>
      <c r="K120" s="58" t="s">
        <v>148</v>
      </c>
      <c r="L120" s="104"/>
      <c r="M120" s="60" t="s">
        <v>81</v>
      </c>
    </row>
    <row r="121" spans="1:13">
      <c r="A121" s="214">
        <v>194722008</v>
      </c>
      <c r="B121" s="106"/>
      <c r="C121" s="106">
        <v>39652</v>
      </c>
      <c r="D121" s="108">
        <v>271722013</v>
      </c>
      <c r="E121" s="110" t="s">
        <v>527</v>
      </c>
      <c r="F121" s="111">
        <v>132668.73000000001</v>
      </c>
      <c r="G121" s="64">
        <f t="shared" si="0"/>
        <v>12060.793636363638</v>
      </c>
      <c r="H121" s="20">
        <v>0.1</v>
      </c>
      <c r="I121" s="64">
        <f t="shared" si="1"/>
        <v>12060.79363636364</v>
      </c>
      <c r="J121" s="216">
        <f t="shared" si="2"/>
        <v>7936.002212727275</v>
      </c>
      <c r="K121" s="110" t="s">
        <v>79</v>
      </c>
      <c r="L121" s="67"/>
      <c r="M121" s="26" t="s">
        <v>81</v>
      </c>
    </row>
    <row r="122" spans="1:13">
      <c r="A122" s="217">
        <v>194722008</v>
      </c>
      <c r="B122" s="114"/>
      <c r="C122" s="114">
        <v>39652</v>
      </c>
      <c r="D122" s="116">
        <v>271712013</v>
      </c>
      <c r="E122" s="129" t="s">
        <v>530</v>
      </c>
      <c r="F122" s="120">
        <v>130345.77</v>
      </c>
      <c r="G122" s="85">
        <f t="shared" si="0"/>
        <v>11849.615454545456</v>
      </c>
      <c r="H122" s="37">
        <v>0.1</v>
      </c>
      <c r="I122" s="85">
        <f t="shared" si="1"/>
        <v>11849.615454545463</v>
      </c>
      <c r="J122" s="221">
        <f t="shared" si="2"/>
        <v>7797.0469690909149</v>
      </c>
      <c r="K122" s="118" t="s">
        <v>79</v>
      </c>
      <c r="L122" s="91"/>
      <c r="M122" s="40" t="s">
        <v>81</v>
      </c>
    </row>
    <row r="123" spans="1:13">
      <c r="A123" s="223">
        <v>194722008</v>
      </c>
      <c r="B123" s="131"/>
      <c r="C123" s="131">
        <v>39652</v>
      </c>
      <c r="D123" s="132">
        <v>271642013</v>
      </c>
      <c r="E123" s="133" t="s">
        <v>533</v>
      </c>
      <c r="F123" s="134">
        <v>132346.19</v>
      </c>
      <c r="G123" s="99">
        <f t="shared" si="0"/>
        <v>12031.471818181817</v>
      </c>
      <c r="H123" s="55">
        <v>0.1</v>
      </c>
      <c r="I123" s="99">
        <f t="shared" si="1"/>
        <v>12031.471818181832</v>
      </c>
      <c r="J123" s="99">
        <f t="shared" si="2"/>
        <v>7916.7084563636454</v>
      </c>
      <c r="K123" s="48" t="s">
        <v>79</v>
      </c>
      <c r="L123" s="104"/>
      <c r="M123" s="60" t="s">
        <v>81</v>
      </c>
    </row>
    <row r="124" spans="1:13">
      <c r="A124" s="214">
        <v>196272004</v>
      </c>
      <c r="B124" s="106"/>
      <c r="C124" s="106">
        <v>38296</v>
      </c>
      <c r="D124" s="108">
        <v>226692013</v>
      </c>
      <c r="E124" s="110" t="s">
        <v>538</v>
      </c>
      <c r="F124" s="111">
        <v>96497.63</v>
      </c>
      <c r="G124" s="64">
        <f t="shared" si="0"/>
        <v>8772.5118181818179</v>
      </c>
      <c r="H124" s="20">
        <v>0.1</v>
      </c>
      <c r="I124" s="64">
        <f t="shared" si="1"/>
        <v>8772.5118181818252</v>
      </c>
      <c r="J124" s="64">
        <f t="shared" si="2"/>
        <v>5772.3127763636412</v>
      </c>
      <c r="K124" s="11" t="s">
        <v>79</v>
      </c>
      <c r="L124" s="67"/>
      <c r="M124" s="26" t="s">
        <v>81</v>
      </c>
    </row>
    <row r="125" spans="1:13">
      <c r="A125" s="331">
        <v>196272004</v>
      </c>
      <c r="B125" s="333"/>
      <c r="C125" s="333">
        <v>38296</v>
      </c>
      <c r="D125" s="335">
        <v>226712013</v>
      </c>
      <c r="E125" s="337" t="s">
        <v>539</v>
      </c>
      <c r="F125" s="339">
        <v>83380.929999999993</v>
      </c>
      <c r="G125" s="340">
        <f t="shared" si="0"/>
        <v>7580.0845454545452</v>
      </c>
      <c r="H125" s="342">
        <v>0.1</v>
      </c>
      <c r="I125" s="340">
        <f t="shared" si="1"/>
        <v>7580.0845454545488</v>
      </c>
      <c r="J125" s="347">
        <f t="shared" si="2"/>
        <v>4987.6956309090938</v>
      </c>
      <c r="K125" s="349" t="s">
        <v>209</v>
      </c>
      <c r="L125" s="351"/>
      <c r="M125" s="353" t="s">
        <v>81</v>
      </c>
    </row>
    <row r="126" spans="1:13">
      <c r="A126" s="223">
        <v>196272004</v>
      </c>
      <c r="B126" s="131"/>
      <c r="C126" s="131">
        <v>38296</v>
      </c>
      <c r="D126" s="132">
        <v>226702013</v>
      </c>
      <c r="E126" s="133" t="s">
        <v>542</v>
      </c>
      <c r="F126" s="134">
        <v>106428.01</v>
      </c>
      <c r="G126" s="99">
        <f t="shared" si="0"/>
        <v>9675.2736363636341</v>
      </c>
      <c r="H126" s="55">
        <v>0.1</v>
      </c>
      <c r="I126" s="99">
        <f t="shared" si="1"/>
        <v>9675.2736363636504</v>
      </c>
      <c r="J126" s="292">
        <f t="shared" si="2"/>
        <v>6366.3300527272822</v>
      </c>
      <c r="K126" s="133" t="s">
        <v>79</v>
      </c>
      <c r="L126" s="104"/>
      <c r="M126" s="60" t="s">
        <v>81</v>
      </c>
    </row>
    <row r="127" spans="1:13">
      <c r="A127" s="59">
        <v>199602008</v>
      </c>
      <c r="B127" s="106"/>
      <c r="C127" s="106">
        <v>39659</v>
      </c>
      <c r="D127" s="108">
        <v>277172013</v>
      </c>
      <c r="E127" s="110" t="s">
        <v>543</v>
      </c>
      <c r="F127" s="111">
        <v>61257.66</v>
      </c>
      <c r="G127" s="64">
        <f t="shared" si="0"/>
        <v>5568.8781818181815</v>
      </c>
      <c r="H127" s="20">
        <v>0.1</v>
      </c>
      <c r="I127" s="64">
        <f t="shared" si="1"/>
        <v>5568.8781818181888</v>
      </c>
      <c r="J127" s="64">
        <f t="shared" si="2"/>
        <v>3664.3218436363682</v>
      </c>
      <c r="K127" s="11" t="s">
        <v>79</v>
      </c>
      <c r="L127" s="67"/>
      <c r="M127" s="26" t="s">
        <v>81</v>
      </c>
    </row>
    <row r="128" spans="1:13">
      <c r="A128" s="69">
        <v>199602008</v>
      </c>
      <c r="B128" s="458"/>
      <c r="C128" s="458">
        <v>39659</v>
      </c>
      <c r="D128" s="460">
        <v>277122013</v>
      </c>
      <c r="E128" s="31" t="s">
        <v>547</v>
      </c>
      <c r="F128" s="33">
        <v>55314.06</v>
      </c>
      <c r="G128" s="85">
        <f t="shared" si="0"/>
        <v>5028.550909090909</v>
      </c>
      <c r="H128" s="37">
        <v>0.1</v>
      </c>
      <c r="I128" s="85">
        <f t="shared" si="1"/>
        <v>5028.5509090909109</v>
      </c>
      <c r="J128" s="85">
        <f t="shared" si="2"/>
        <v>3308.7864981818193</v>
      </c>
      <c r="K128" s="31" t="s">
        <v>79</v>
      </c>
      <c r="L128" s="91"/>
      <c r="M128" s="40" t="s">
        <v>81</v>
      </c>
    </row>
    <row r="129" spans="1:13">
      <c r="A129" s="69">
        <v>199602008</v>
      </c>
      <c r="B129" s="458"/>
      <c r="C129" s="458">
        <v>39659</v>
      </c>
      <c r="D129" s="460">
        <v>277212013</v>
      </c>
      <c r="E129" s="31" t="s">
        <v>552</v>
      </c>
      <c r="F129" s="33">
        <v>122787.65</v>
      </c>
      <c r="G129" s="85">
        <f t="shared" si="0"/>
        <v>11162.513636363636</v>
      </c>
      <c r="H129" s="37">
        <v>0.1</v>
      </c>
      <c r="I129" s="85">
        <f t="shared" si="1"/>
        <v>11162.513636363641</v>
      </c>
      <c r="J129" s="85">
        <f t="shared" si="2"/>
        <v>7344.9339727272763</v>
      </c>
      <c r="K129" s="31" t="s">
        <v>79</v>
      </c>
      <c r="L129" s="91"/>
      <c r="M129" s="40" t="s">
        <v>81</v>
      </c>
    </row>
    <row r="130" spans="1:13">
      <c r="A130" s="69">
        <v>199602008</v>
      </c>
      <c r="B130" s="114"/>
      <c r="C130" s="114">
        <v>39659</v>
      </c>
      <c r="D130" s="116">
        <v>277082013</v>
      </c>
      <c r="E130" s="118" t="s">
        <v>554</v>
      </c>
      <c r="F130" s="402">
        <v>110888.27</v>
      </c>
      <c r="G130" s="85">
        <f t="shared" si="0"/>
        <v>10080.751818181818</v>
      </c>
      <c r="H130" s="37">
        <v>0.1</v>
      </c>
      <c r="I130" s="85">
        <f t="shared" si="1"/>
        <v>10080.75181818183</v>
      </c>
      <c r="J130" s="85">
        <f t="shared" si="2"/>
        <v>6633.1346963636452</v>
      </c>
      <c r="K130" s="31" t="s">
        <v>79</v>
      </c>
      <c r="L130" s="91"/>
      <c r="M130" s="40" t="s">
        <v>81</v>
      </c>
    </row>
    <row r="131" spans="1:13">
      <c r="A131" s="93">
        <v>199602008</v>
      </c>
      <c r="B131" s="131"/>
      <c r="C131" s="131">
        <v>39659</v>
      </c>
      <c r="D131" s="132">
        <v>277192013</v>
      </c>
      <c r="E131" s="133" t="s">
        <v>558</v>
      </c>
      <c r="F131" s="405">
        <v>66032.800000000003</v>
      </c>
      <c r="G131" s="99">
        <f t="shared" si="0"/>
        <v>6002.9818181818182</v>
      </c>
      <c r="H131" s="55">
        <v>0.1</v>
      </c>
      <c r="I131" s="99">
        <f t="shared" si="1"/>
        <v>6002.9818181818264</v>
      </c>
      <c r="J131" s="99">
        <f t="shared" si="2"/>
        <v>3949.9620363636418</v>
      </c>
      <c r="K131" s="48" t="s">
        <v>79</v>
      </c>
      <c r="L131" s="104"/>
      <c r="M131" s="60" t="s">
        <v>81</v>
      </c>
    </row>
    <row r="132" spans="1:13">
      <c r="A132" s="59">
        <v>199642008</v>
      </c>
      <c r="B132" s="106"/>
      <c r="C132" s="106">
        <v>39659</v>
      </c>
      <c r="D132" s="108">
        <v>269262013</v>
      </c>
      <c r="E132" s="110" t="s">
        <v>561</v>
      </c>
      <c r="F132" s="111">
        <v>63217.96</v>
      </c>
      <c r="G132" s="64">
        <f t="shared" si="0"/>
        <v>5747.0872727272726</v>
      </c>
      <c r="H132" s="20">
        <v>0.1</v>
      </c>
      <c r="I132" s="64">
        <f t="shared" si="1"/>
        <v>5747.0872727272799</v>
      </c>
      <c r="J132" s="127">
        <f t="shared" si="2"/>
        <v>3781.5834254545503</v>
      </c>
      <c r="K132" s="68" t="s">
        <v>148</v>
      </c>
      <c r="L132" s="67"/>
      <c r="M132" s="26" t="s">
        <v>81</v>
      </c>
    </row>
    <row r="133" spans="1:13">
      <c r="A133" s="69">
        <v>199642008</v>
      </c>
      <c r="B133" s="114"/>
      <c r="C133" s="114">
        <v>39659</v>
      </c>
      <c r="D133" s="116">
        <v>269322013</v>
      </c>
      <c r="E133" s="118" t="s">
        <v>566</v>
      </c>
      <c r="F133" s="120">
        <v>141110.48000000001</v>
      </c>
      <c r="G133" s="85">
        <f t="shared" si="0"/>
        <v>12828.225454545456</v>
      </c>
      <c r="H133" s="37">
        <v>0.1</v>
      </c>
      <c r="I133" s="85">
        <f t="shared" si="1"/>
        <v>12828.225454545463</v>
      </c>
      <c r="J133" s="85">
        <f t="shared" si="2"/>
        <v>8440.9723490909146</v>
      </c>
      <c r="K133" s="31" t="s">
        <v>79</v>
      </c>
      <c r="L133" s="91"/>
      <c r="M133" s="40" t="s">
        <v>81</v>
      </c>
    </row>
    <row r="134" spans="1:13">
      <c r="A134" s="69">
        <v>199642008</v>
      </c>
      <c r="B134" s="458"/>
      <c r="C134" s="458">
        <v>39659</v>
      </c>
      <c r="D134" s="460">
        <v>269212013</v>
      </c>
      <c r="E134" s="31" t="s">
        <v>569</v>
      </c>
      <c r="F134" s="75">
        <v>69030.92</v>
      </c>
      <c r="G134" s="85">
        <f t="shared" si="0"/>
        <v>6275.5381818181813</v>
      </c>
      <c r="H134" s="37">
        <v>0.1</v>
      </c>
      <c r="I134" s="85">
        <f t="shared" si="1"/>
        <v>6275.538181818185</v>
      </c>
      <c r="J134" s="85">
        <f t="shared" si="2"/>
        <v>4129.3041236363661</v>
      </c>
      <c r="K134" s="31" t="s">
        <v>79</v>
      </c>
      <c r="L134" s="91"/>
      <c r="M134" s="40" t="s">
        <v>81</v>
      </c>
    </row>
    <row r="135" spans="1:13">
      <c r="A135" s="69">
        <v>199642008</v>
      </c>
      <c r="B135" s="114"/>
      <c r="C135" s="114">
        <v>39659</v>
      </c>
      <c r="D135" s="116">
        <v>269012013</v>
      </c>
      <c r="E135" s="118" t="s">
        <v>571</v>
      </c>
      <c r="F135" s="120">
        <v>141442.59</v>
      </c>
      <c r="G135" s="85">
        <f t="shared" si="0"/>
        <v>12858.417272727273</v>
      </c>
      <c r="H135" s="37">
        <v>0.1</v>
      </c>
      <c r="I135" s="85">
        <f t="shared" si="1"/>
        <v>12858.417272727282</v>
      </c>
      <c r="J135" s="221">
        <f t="shared" si="2"/>
        <v>8460.8385654545509</v>
      </c>
      <c r="K135" s="118" t="s">
        <v>79</v>
      </c>
      <c r="L135" s="91"/>
      <c r="M135" s="40" t="s">
        <v>81</v>
      </c>
    </row>
    <row r="136" spans="1:13">
      <c r="A136" s="69">
        <v>199642008</v>
      </c>
      <c r="B136" s="114"/>
      <c r="C136" s="114">
        <v>39659</v>
      </c>
      <c r="D136" s="116">
        <v>269232013</v>
      </c>
      <c r="E136" s="118" t="s">
        <v>574</v>
      </c>
      <c r="F136" s="120">
        <v>70206.78</v>
      </c>
      <c r="G136" s="85">
        <f t="shared" si="0"/>
        <v>6382.4345454545455</v>
      </c>
      <c r="H136" s="37">
        <v>0.1</v>
      </c>
      <c r="I136" s="85">
        <f t="shared" si="1"/>
        <v>6382.4345454545473</v>
      </c>
      <c r="J136" s="243">
        <f t="shared" si="2"/>
        <v>4199.6419309090925</v>
      </c>
      <c r="K136" s="129" t="s">
        <v>201</v>
      </c>
      <c r="L136" s="91"/>
      <c r="M136" s="40" t="s">
        <v>81</v>
      </c>
    </row>
    <row r="137" spans="1:13">
      <c r="A137" s="93">
        <v>199642008</v>
      </c>
      <c r="B137" s="131"/>
      <c r="C137" s="131">
        <v>39659</v>
      </c>
      <c r="D137" s="132">
        <v>269372013</v>
      </c>
      <c r="E137" s="133" t="s">
        <v>578</v>
      </c>
      <c r="F137" s="134">
        <v>74246.960000000006</v>
      </c>
      <c r="G137" s="99">
        <f t="shared" si="0"/>
        <v>6749.7236363636366</v>
      </c>
      <c r="H137" s="55">
        <v>0.1</v>
      </c>
      <c r="I137" s="99">
        <f t="shared" si="1"/>
        <v>6749.7236363636475</v>
      </c>
      <c r="J137" s="292">
        <f t="shared" si="2"/>
        <v>4441.31815272728</v>
      </c>
      <c r="K137" s="133" t="s">
        <v>79</v>
      </c>
      <c r="L137" s="104"/>
      <c r="M137" s="60" t="s">
        <v>81</v>
      </c>
    </row>
    <row r="138" spans="1:13">
      <c r="A138" s="59">
        <v>199652008</v>
      </c>
      <c r="B138" s="106"/>
      <c r="C138" s="106">
        <v>39659</v>
      </c>
      <c r="D138" s="108">
        <v>277552013</v>
      </c>
      <c r="E138" s="110" t="s">
        <v>581</v>
      </c>
      <c r="F138" s="111">
        <v>76805.56</v>
      </c>
      <c r="G138" s="64">
        <f t="shared" si="0"/>
        <v>6982.3236363636361</v>
      </c>
      <c r="H138" s="20">
        <v>0.1</v>
      </c>
      <c r="I138" s="64">
        <f t="shared" si="1"/>
        <v>6982.3236363636388</v>
      </c>
      <c r="J138" s="64">
        <f t="shared" si="2"/>
        <v>4594.3689527272745</v>
      </c>
      <c r="K138" s="11" t="s">
        <v>79</v>
      </c>
      <c r="L138" s="67"/>
      <c r="M138" s="26" t="s">
        <v>81</v>
      </c>
    </row>
    <row r="139" spans="1:13">
      <c r="A139" s="69">
        <v>199652008</v>
      </c>
      <c r="B139" s="114"/>
      <c r="C139" s="114">
        <v>39659</v>
      </c>
      <c r="D139" s="116">
        <v>277512013</v>
      </c>
      <c r="E139" s="118" t="s">
        <v>584</v>
      </c>
      <c r="F139" s="120">
        <v>82155.710000000006</v>
      </c>
      <c r="G139" s="85">
        <f t="shared" si="0"/>
        <v>7468.7009090909096</v>
      </c>
      <c r="H139" s="37">
        <v>0.1</v>
      </c>
      <c r="I139" s="85">
        <f t="shared" si="1"/>
        <v>7468.7009090909123</v>
      </c>
      <c r="J139" s="85">
        <f t="shared" si="2"/>
        <v>4914.4051981818202</v>
      </c>
      <c r="K139" s="31" t="s">
        <v>79</v>
      </c>
      <c r="L139" s="91"/>
      <c r="M139" s="40" t="s">
        <v>81</v>
      </c>
    </row>
    <row r="140" spans="1:13">
      <c r="A140" s="474">
        <v>199652008</v>
      </c>
      <c r="B140" s="476"/>
      <c r="C140" s="476">
        <v>39659</v>
      </c>
      <c r="D140" s="31">
        <v>277442013</v>
      </c>
      <c r="E140" s="118" t="s">
        <v>587</v>
      </c>
      <c r="F140" s="120">
        <v>75476.710000000006</v>
      </c>
      <c r="G140" s="85">
        <f t="shared" si="0"/>
        <v>6861.5190909090907</v>
      </c>
      <c r="H140" s="37">
        <v>0.1</v>
      </c>
      <c r="I140" s="85">
        <f t="shared" si="1"/>
        <v>6861.5190909091034</v>
      </c>
      <c r="J140" s="85">
        <f t="shared" si="2"/>
        <v>4514.8795618181903</v>
      </c>
      <c r="K140" s="31" t="s">
        <v>79</v>
      </c>
      <c r="L140" s="91"/>
      <c r="M140" s="40" t="s">
        <v>81</v>
      </c>
    </row>
    <row r="141" spans="1:13">
      <c r="A141" s="69">
        <v>199652008</v>
      </c>
      <c r="B141" s="114"/>
      <c r="C141" s="114">
        <v>39659</v>
      </c>
      <c r="D141" s="116">
        <v>277562013</v>
      </c>
      <c r="E141" s="118" t="s">
        <v>589</v>
      </c>
      <c r="F141" s="120">
        <v>161861.22</v>
      </c>
      <c r="G141" s="85">
        <f t="shared" si="0"/>
        <v>14714.656363636364</v>
      </c>
      <c r="H141" s="37">
        <v>0.1</v>
      </c>
      <c r="I141" s="85">
        <f t="shared" si="1"/>
        <v>14714.656363636372</v>
      </c>
      <c r="J141" s="85">
        <f t="shared" si="2"/>
        <v>9682.2438872727325</v>
      </c>
      <c r="K141" s="31" t="s">
        <v>79</v>
      </c>
      <c r="L141" s="91"/>
      <c r="M141" s="40" t="s">
        <v>81</v>
      </c>
    </row>
    <row r="142" spans="1:13">
      <c r="A142" s="93">
        <v>199652008</v>
      </c>
      <c r="B142" s="131"/>
      <c r="C142" s="131">
        <v>39659</v>
      </c>
      <c r="D142" s="132">
        <v>277472013</v>
      </c>
      <c r="E142" s="133" t="s">
        <v>591</v>
      </c>
      <c r="F142" s="134">
        <v>80286.78</v>
      </c>
      <c r="G142" s="99">
        <f t="shared" si="0"/>
        <v>7298.7981818181815</v>
      </c>
      <c r="H142" s="55">
        <v>0.1</v>
      </c>
      <c r="I142" s="99">
        <f t="shared" si="1"/>
        <v>7298.798181818187</v>
      </c>
      <c r="J142" s="102">
        <f t="shared" si="2"/>
        <v>4802.6092036363671</v>
      </c>
      <c r="K142" s="58" t="s">
        <v>148</v>
      </c>
      <c r="L142" s="104"/>
      <c r="M142" s="60" t="s">
        <v>81</v>
      </c>
    </row>
    <row r="143" spans="1:13">
      <c r="A143" s="214">
        <v>205612004</v>
      </c>
      <c r="B143" s="106"/>
      <c r="C143" s="106">
        <v>38310</v>
      </c>
      <c r="D143" s="108">
        <v>262452013</v>
      </c>
      <c r="E143" s="110" t="s">
        <v>592</v>
      </c>
      <c r="F143" s="111">
        <v>204527</v>
      </c>
      <c r="G143" s="64">
        <f t="shared" si="0"/>
        <v>20452.7</v>
      </c>
      <c r="H143" s="20">
        <v>0</v>
      </c>
      <c r="I143" s="64">
        <f t="shared" si="1"/>
        <v>0</v>
      </c>
      <c r="J143" s="478">
        <f t="shared" si="2"/>
        <v>0</v>
      </c>
      <c r="K143" s="296" t="s">
        <v>201</v>
      </c>
      <c r="L143" s="67"/>
      <c r="M143" s="26" t="s">
        <v>81</v>
      </c>
    </row>
    <row r="144" spans="1:13">
      <c r="A144" s="217">
        <v>205612004</v>
      </c>
      <c r="B144" s="114"/>
      <c r="C144" s="114">
        <v>38310</v>
      </c>
      <c r="D144" s="116">
        <v>262612013</v>
      </c>
      <c r="E144" s="118" t="s">
        <v>594</v>
      </c>
      <c r="F144" s="120">
        <v>256697.89</v>
      </c>
      <c r="G144" s="85">
        <f t="shared" si="0"/>
        <v>25669.789000000004</v>
      </c>
      <c r="H144" s="37">
        <v>0</v>
      </c>
      <c r="I144" s="85">
        <f t="shared" si="1"/>
        <v>0</v>
      </c>
      <c r="J144" s="89">
        <f t="shared" si="2"/>
        <v>0</v>
      </c>
      <c r="K144" s="65" t="s">
        <v>148</v>
      </c>
      <c r="L144" s="91"/>
      <c r="M144" s="40" t="s">
        <v>81</v>
      </c>
    </row>
    <row r="145" spans="1:13">
      <c r="A145" s="223">
        <v>205612004</v>
      </c>
      <c r="B145" s="131"/>
      <c r="C145" s="131">
        <v>38310</v>
      </c>
      <c r="D145" s="132">
        <v>262402013</v>
      </c>
      <c r="E145" s="133" t="s">
        <v>597</v>
      </c>
      <c r="F145" s="134">
        <v>148566.48000000001</v>
      </c>
      <c r="G145" s="99">
        <f t="shared" si="0"/>
        <v>14856.648000000001</v>
      </c>
      <c r="H145" s="55">
        <v>0</v>
      </c>
      <c r="I145" s="99">
        <f t="shared" si="1"/>
        <v>0</v>
      </c>
      <c r="J145" s="99">
        <f t="shared" si="2"/>
        <v>0</v>
      </c>
      <c r="K145" s="48" t="s">
        <v>79</v>
      </c>
      <c r="L145" s="104"/>
      <c r="M145" s="60" t="s">
        <v>81</v>
      </c>
    </row>
    <row r="146" spans="1:13">
      <c r="A146" s="59">
        <v>206932004</v>
      </c>
      <c r="B146" s="106"/>
      <c r="C146" s="106">
        <v>38313</v>
      </c>
      <c r="D146" s="108">
        <v>281072013</v>
      </c>
      <c r="E146" s="110" t="s">
        <v>600</v>
      </c>
      <c r="F146" s="111">
        <v>124378.05</v>
      </c>
      <c r="G146" s="64">
        <f t="shared" si="0"/>
        <v>11307.095454545455</v>
      </c>
      <c r="H146" s="20">
        <v>0.1</v>
      </c>
      <c r="I146" s="64">
        <f t="shared" si="1"/>
        <v>11307.095454545459</v>
      </c>
      <c r="J146" s="64">
        <f t="shared" si="2"/>
        <v>7440.0688090909125</v>
      </c>
      <c r="K146" s="11" t="s">
        <v>79</v>
      </c>
      <c r="L146" s="67"/>
      <c r="M146" s="26" t="s">
        <v>81</v>
      </c>
    </row>
    <row r="147" spans="1:13">
      <c r="A147" s="69">
        <v>206932004</v>
      </c>
      <c r="B147" s="114"/>
      <c r="C147" s="114">
        <v>38313</v>
      </c>
      <c r="D147" s="116">
        <v>281232013</v>
      </c>
      <c r="E147" s="118" t="s">
        <v>602</v>
      </c>
      <c r="F147" s="120">
        <v>149965.13</v>
      </c>
      <c r="G147" s="85">
        <f t="shared" si="0"/>
        <v>13633.193636363638</v>
      </c>
      <c r="H147" s="37">
        <v>0.1</v>
      </c>
      <c r="I147" s="85">
        <f t="shared" si="1"/>
        <v>13633.193636363634</v>
      </c>
      <c r="J147" s="89">
        <f t="shared" si="2"/>
        <v>8970.641412727271</v>
      </c>
      <c r="K147" s="65" t="s">
        <v>471</v>
      </c>
      <c r="L147" s="91"/>
      <c r="M147" s="40" t="s">
        <v>81</v>
      </c>
    </row>
    <row r="148" spans="1:13">
      <c r="A148" s="93">
        <v>206932004</v>
      </c>
      <c r="B148" s="131"/>
      <c r="C148" s="131">
        <v>38313</v>
      </c>
      <c r="D148" s="481">
        <v>281082013</v>
      </c>
      <c r="E148" s="133" t="s">
        <v>607</v>
      </c>
      <c r="F148" s="134">
        <v>151170.17000000001</v>
      </c>
      <c r="G148" s="99">
        <f t="shared" si="0"/>
        <v>13742.742727272729</v>
      </c>
      <c r="H148" s="55">
        <v>0.1</v>
      </c>
      <c r="I148" s="99">
        <f t="shared" si="1"/>
        <v>13742.742727272736</v>
      </c>
      <c r="J148" s="99">
        <f t="shared" si="2"/>
        <v>9042.7247145454603</v>
      </c>
      <c r="K148" s="48" t="s">
        <v>79</v>
      </c>
      <c r="L148" s="104"/>
      <c r="M148" s="60" t="s">
        <v>81</v>
      </c>
    </row>
    <row r="149" spans="1:13">
      <c r="A149" s="59">
        <v>212692004</v>
      </c>
      <c r="B149" s="61"/>
      <c r="C149" s="61">
        <v>38320</v>
      </c>
      <c r="D149" s="62">
        <v>165162013</v>
      </c>
      <c r="E149" s="11" t="s">
        <v>611</v>
      </c>
      <c r="F149" s="63">
        <v>143167.26</v>
      </c>
      <c r="G149" s="64">
        <f t="shared" si="0"/>
        <v>13015.205454545456</v>
      </c>
      <c r="H149" s="20">
        <v>0.1</v>
      </c>
      <c r="I149" s="64">
        <f t="shared" si="1"/>
        <v>13015.205454545459</v>
      </c>
      <c r="J149" s="64">
        <f t="shared" si="2"/>
        <v>8564.0051890909126</v>
      </c>
      <c r="K149" s="11" t="s">
        <v>79</v>
      </c>
      <c r="L149" s="67"/>
      <c r="M149" s="26" t="s">
        <v>81</v>
      </c>
    </row>
    <row r="150" spans="1:13">
      <c r="A150" s="69">
        <v>212692004</v>
      </c>
      <c r="B150" s="114"/>
      <c r="C150" s="114">
        <v>38320</v>
      </c>
      <c r="D150" s="116">
        <v>165152013</v>
      </c>
      <c r="E150" s="118" t="s">
        <v>613</v>
      </c>
      <c r="F150" s="120">
        <v>123521.16</v>
      </c>
      <c r="G150" s="85">
        <f t="shared" si="0"/>
        <v>11229.196363636363</v>
      </c>
      <c r="H150" s="37">
        <v>0.1</v>
      </c>
      <c r="I150" s="85">
        <f t="shared" si="1"/>
        <v>11229.19636363638</v>
      </c>
      <c r="J150" s="85">
        <f t="shared" si="2"/>
        <v>7388.8112072727381</v>
      </c>
      <c r="K150" s="31" t="s">
        <v>79</v>
      </c>
      <c r="L150" s="91"/>
      <c r="M150" s="40" t="s">
        <v>81</v>
      </c>
    </row>
    <row r="151" spans="1:13">
      <c r="A151" s="93">
        <v>212692004</v>
      </c>
      <c r="B151" s="131"/>
      <c r="C151" s="131">
        <v>38320</v>
      </c>
      <c r="D151" s="132">
        <v>165142013</v>
      </c>
      <c r="E151" s="133" t="s">
        <v>616</v>
      </c>
      <c r="F151" s="134">
        <v>153033.04</v>
      </c>
      <c r="G151" s="99">
        <f t="shared" si="0"/>
        <v>13912.094545454547</v>
      </c>
      <c r="H151" s="55">
        <v>0.1</v>
      </c>
      <c r="I151" s="99">
        <f t="shared" si="1"/>
        <v>13912.094545454544</v>
      </c>
      <c r="J151" s="99">
        <f t="shared" si="2"/>
        <v>9154.1582109090905</v>
      </c>
      <c r="K151" s="48" t="s">
        <v>79</v>
      </c>
      <c r="L151" s="104"/>
      <c r="M151" s="60" t="s">
        <v>81</v>
      </c>
    </row>
    <row r="152" spans="1:13">
      <c r="A152" s="192">
        <v>235042008</v>
      </c>
      <c r="B152" s="383"/>
      <c r="C152" s="383">
        <v>39695</v>
      </c>
      <c r="D152" s="384">
        <v>266542013</v>
      </c>
      <c r="E152" s="385" t="s">
        <v>618</v>
      </c>
      <c r="F152" s="386">
        <v>18627.97</v>
      </c>
      <c r="G152" s="198">
        <f t="shared" si="0"/>
        <v>1774.0923809523811</v>
      </c>
      <c r="H152" s="101">
        <v>0.05</v>
      </c>
      <c r="I152" s="198">
        <f t="shared" si="1"/>
        <v>887.04619047619053</v>
      </c>
      <c r="J152" s="198">
        <f t="shared" si="2"/>
        <v>583.67639333333341</v>
      </c>
      <c r="K152" s="96" t="s">
        <v>79</v>
      </c>
      <c r="L152" s="211"/>
      <c r="M152" s="107" t="s">
        <v>81</v>
      </c>
    </row>
    <row r="153" spans="1:13">
      <c r="A153" s="59">
        <v>252992008</v>
      </c>
      <c r="B153" s="106"/>
      <c r="C153" s="106">
        <v>39717</v>
      </c>
      <c r="D153" s="108">
        <v>271462013</v>
      </c>
      <c r="E153" s="296" t="s">
        <v>621</v>
      </c>
      <c r="F153" s="111">
        <v>77315.78</v>
      </c>
      <c r="G153" s="64">
        <f t="shared" si="0"/>
        <v>7028.7072727272725</v>
      </c>
      <c r="H153" s="20">
        <v>0.1</v>
      </c>
      <c r="I153" s="64">
        <f t="shared" si="1"/>
        <v>7028.7072727272753</v>
      </c>
      <c r="J153" s="64">
        <f t="shared" si="2"/>
        <v>4624.8893854545477</v>
      </c>
      <c r="K153" s="11" t="s">
        <v>79</v>
      </c>
      <c r="L153" s="67"/>
      <c r="M153" s="26" t="s">
        <v>81</v>
      </c>
    </row>
    <row r="154" spans="1:13">
      <c r="A154" s="69">
        <v>252992008</v>
      </c>
      <c r="B154" s="114"/>
      <c r="C154" s="114">
        <v>39717</v>
      </c>
      <c r="D154" s="116">
        <v>271372013</v>
      </c>
      <c r="E154" s="118" t="s">
        <v>625</v>
      </c>
      <c r="F154" s="120">
        <v>67861.179999999993</v>
      </c>
      <c r="G154" s="85">
        <f t="shared" si="0"/>
        <v>6169.1981818181812</v>
      </c>
      <c r="H154" s="37">
        <v>0.1</v>
      </c>
      <c r="I154" s="85">
        <f t="shared" si="1"/>
        <v>6169.1981818181885</v>
      </c>
      <c r="J154" s="89">
        <f t="shared" si="2"/>
        <v>4059.3324036363683</v>
      </c>
      <c r="K154" s="65" t="s">
        <v>148</v>
      </c>
      <c r="L154" s="91"/>
      <c r="M154" s="40" t="s">
        <v>81</v>
      </c>
    </row>
    <row r="155" spans="1:13">
      <c r="A155" s="69">
        <v>252992008</v>
      </c>
      <c r="B155" s="114"/>
      <c r="C155" s="114">
        <v>39717</v>
      </c>
      <c r="D155" s="116">
        <v>271402013</v>
      </c>
      <c r="E155" s="118" t="s">
        <v>628</v>
      </c>
      <c r="F155" s="120">
        <v>77397.98</v>
      </c>
      <c r="G155" s="85">
        <f t="shared" si="0"/>
        <v>7036.1799999999994</v>
      </c>
      <c r="H155" s="37">
        <v>0.1</v>
      </c>
      <c r="I155" s="85">
        <f t="shared" si="1"/>
        <v>7036.1800000000076</v>
      </c>
      <c r="J155" s="85">
        <f t="shared" si="2"/>
        <v>4629.8064400000048</v>
      </c>
      <c r="K155" s="31" t="s">
        <v>79</v>
      </c>
      <c r="L155" s="91"/>
      <c r="M155" s="40" t="s">
        <v>81</v>
      </c>
    </row>
    <row r="156" spans="1:13">
      <c r="A156" s="93">
        <v>252992008</v>
      </c>
      <c r="B156" s="131"/>
      <c r="C156" s="131">
        <v>39717</v>
      </c>
      <c r="D156" s="132">
        <v>271392013</v>
      </c>
      <c r="E156" s="133" t="s">
        <v>632</v>
      </c>
      <c r="F156" s="134">
        <v>66281.22</v>
      </c>
      <c r="G156" s="99">
        <f t="shared" si="0"/>
        <v>6025.5654545454545</v>
      </c>
      <c r="H156" s="55">
        <v>0.1</v>
      </c>
      <c r="I156" s="99">
        <f t="shared" si="1"/>
        <v>6025.5654545454599</v>
      </c>
      <c r="J156" s="99">
        <f t="shared" si="2"/>
        <v>3964.8220690909129</v>
      </c>
      <c r="K156" s="48" t="s">
        <v>79</v>
      </c>
      <c r="L156" s="104"/>
      <c r="M156" s="60" t="s">
        <v>81</v>
      </c>
    </row>
    <row r="157" spans="1:13">
      <c r="A157" s="59">
        <v>305472006</v>
      </c>
      <c r="B157" s="106"/>
      <c r="C157" s="106">
        <v>39052</v>
      </c>
      <c r="D157" s="108">
        <v>280682013</v>
      </c>
      <c r="E157" s="110" t="s">
        <v>635</v>
      </c>
      <c r="F157" s="111">
        <v>25135.279999999999</v>
      </c>
      <c r="G157" s="64">
        <f t="shared" si="0"/>
        <v>2285.0254545454545</v>
      </c>
      <c r="H157" s="20">
        <v>0.1</v>
      </c>
      <c r="I157" s="64">
        <f t="shared" si="1"/>
        <v>2285.0254545454554</v>
      </c>
      <c r="J157" s="64">
        <f t="shared" si="2"/>
        <v>1503.5467490909098</v>
      </c>
      <c r="K157" s="11" t="s">
        <v>79</v>
      </c>
      <c r="L157" s="67"/>
      <c r="M157" s="26" t="s">
        <v>81</v>
      </c>
    </row>
    <row r="158" spans="1:13">
      <c r="A158" s="489">
        <v>305472006</v>
      </c>
      <c r="B158" s="131"/>
      <c r="C158" s="131">
        <v>39052</v>
      </c>
      <c r="D158" s="132">
        <v>280722013</v>
      </c>
      <c r="E158" s="133" t="s">
        <v>638</v>
      </c>
      <c r="F158" s="134">
        <v>26904.23</v>
      </c>
      <c r="G158" s="99">
        <f t="shared" si="0"/>
        <v>2445.8390909090908</v>
      </c>
      <c r="H158" s="55">
        <v>0.1</v>
      </c>
      <c r="I158" s="99">
        <f t="shared" si="1"/>
        <v>2445.8390909090922</v>
      </c>
      <c r="J158" s="102">
        <f t="shared" si="2"/>
        <v>1609.3621218181827</v>
      </c>
      <c r="K158" s="58" t="s">
        <v>166</v>
      </c>
      <c r="L158" s="104"/>
      <c r="M158" s="60" t="s">
        <v>81</v>
      </c>
    </row>
    <row r="159" spans="1:13">
      <c r="A159" s="59">
        <v>307342006</v>
      </c>
      <c r="B159" s="106"/>
      <c r="C159" s="106">
        <v>39786</v>
      </c>
      <c r="D159" s="108">
        <v>262202013</v>
      </c>
      <c r="E159" s="110" t="s">
        <v>640</v>
      </c>
      <c r="F159" s="111">
        <v>141641.49</v>
      </c>
      <c r="G159" s="64">
        <f t="shared" si="0"/>
        <v>12876.49909090909</v>
      </c>
      <c r="H159" s="20">
        <v>0.1</v>
      </c>
      <c r="I159" s="64">
        <f t="shared" si="1"/>
        <v>12876.499090909099</v>
      </c>
      <c r="J159" s="64">
        <f t="shared" si="2"/>
        <v>8472.736401818187</v>
      </c>
      <c r="K159" s="11" t="s">
        <v>79</v>
      </c>
      <c r="L159" s="67"/>
      <c r="M159" s="26" t="s">
        <v>81</v>
      </c>
    </row>
    <row r="160" spans="1:13">
      <c r="A160" s="217">
        <v>307342006</v>
      </c>
      <c r="B160" s="377"/>
      <c r="C160" s="377">
        <v>39786</v>
      </c>
      <c r="D160" s="118">
        <v>262342013</v>
      </c>
      <c r="E160" s="118" t="s">
        <v>641</v>
      </c>
      <c r="F160" s="120">
        <v>133031.92000000001</v>
      </c>
      <c r="G160" s="85">
        <f t="shared" si="0"/>
        <v>12093.810909090911</v>
      </c>
      <c r="H160" s="37">
        <v>0.1</v>
      </c>
      <c r="I160" s="85">
        <f t="shared" si="1"/>
        <v>12093.810909090913</v>
      </c>
      <c r="J160" s="243">
        <f t="shared" si="2"/>
        <v>7957.7275781818207</v>
      </c>
      <c r="K160" s="129" t="s">
        <v>148</v>
      </c>
      <c r="L160" s="91"/>
      <c r="M160" s="40" t="s">
        <v>81</v>
      </c>
    </row>
    <row r="161" spans="1:13">
      <c r="A161" s="223">
        <v>307342006</v>
      </c>
      <c r="B161" s="122"/>
      <c r="C161" s="122">
        <v>39786</v>
      </c>
      <c r="D161" s="124">
        <v>262242013</v>
      </c>
      <c r="E161" s="48" t="s">
        <v>642</v>
      </c>
      <c r="F161" s="503">
        <v>124095.03999999999</v>
      </c>
      <c r="G161" s="99">
        <f t="shared" si="0"/>
        <v>11281.367272727271</v>
      </c>
      <c r="H161" s="55">
        <v>0.1</v>
      </c>
      <c r="I161" s="99">
        <f t="shared" si="1"/>
        <v>11281.367272727279</v>
      </c>
      <c r="J161" s="292">
        <f t="shared" si="2"/>
        <v>7423.1396654545497</v>
      </c>
      <c r="K161" s="133" t="s">
        <v>79</v>
      </c>
      <c r="L161" s="104"/>
      <c r="M161" s="60" t="s">
        <v>81</v>
      </c>
    </row>
    <row r="162" spans="1:13">
      <c r="A162" s="505">
        <v>68042000</v>
      </c>
      <c r="B162" s="506"/>
      <c r="C162" s="506">
        <v>36670</v>
      </c>
      <c r="D162" s="507">
        <v>235552013</v>
      </c>
      <c r="E162" s="138" t="s">
        <v>652</v>
      </c>
      <c r="F162" s="508">
        <v>107755.63</v>
      </c>
      <c r="G162" s="396">
        <f t="shared" si="0"/>
        <v>9795.9663636363639</v>
      </c>
      <c r="H162" s="141">
        <v>0.1</v>
      </c>
      <c r="I162" s="396">
        <f t="shared" si="1"/>
        <v>9795.9663636363694</v>
      </c>
      <c r="J162" s="509">
        <f t="shared" si="2"/>
        <v>9795.9663636363694</v>
      </c>
      <c r="K162" s="510" t="s">
        <v>209</v>
      </c>
      <c r="L162" s="399"/>
      <c r="M162" s="146" t="s">
        <v>81</v>
      </c>
    </row>
    <row r="163" spans="1:13">
      <c r="A163" s="511"/>
      <c r="B163" s="512"/>
      <c r="C163" s="512"/>
      <c r="D163" s="513"/>
      <c r="E163" s="230"/>
      <c r="F163" s="514"/>
      <c r="G163" s="515">
        <f t="shared" si="0"/>
        <v>0</v>
      </c>
      <c r="H163" s="236"/>
      <c r="I163" s="515">
        <f t="shared" si="1"/>
        <v>0</v>
      </c>
      <c r="J163" s="517">
        <f t="shared" si="2"/>
        <v>0</v>
      </c>
      <c r="K163" s="518"/>
      <c r="L163" s="520"/>
      <c r="M163" s="520"/>
    </row>
    <row r="164" spans="1:13">
      <c r="A164" s="372"/>
      <c r="B164" s="522"/>
      <c r="C164" s="522"/>
      <c r="D164" s="460"/>
      <c r="E164" s="31"/>
      <c r="F164" s="524"/>
      <c r="G164" s="85">
        <f t="shared" si="0"/>
        <v>0</v>
      </c>
      <c r="H164" s="37"/>
      <c r="I164" s="85">
        <f t="shared" si="1"/>
        <v>0</v>
      </c>
      <c r="J164" s="221">
        <f t="shared" si="2"/>
        <v>0</v>
      </c>
      <c r="K164" s="118"/>
      <c r="L164" s="527"/>
      <c r="M164" s="527"/>
    </row>
    <row r="165" spans="1:13">
      <c r="A165" s="651" t="s">
        <v>176</v>
      </c>
      <c r="B165" s="652"/>
      <c r="C165" s="652"/>
      <c r="D165" s="652"/>
      <c r="E165" s="653"/>
      <c r="F165" s="244">
        <f t="shared" ref="F165:G165" si="3">SUM(F3:F164)</f>
        <v>14683680.870000008</v>
      </c>
      <c r="G165" s="244">
        <f t="shared" si="3"/>
        <v>1342838.6878398263</v>
      </c>
      <c r="H165" s="244"/>
      <c r="I165" s="244">
        <f t="shared" ref="I165:J165" si="4">SUM(I3:I164)</f>
        <v>1255293.9916017321</v>
      </c>
      <c r="J165" s="244">
        <f t="shared" si="4"/>
        <v>876808.0700287458</v>
      </c>
      <c r="K165" s="31"/>
      <c r="L165" s="527"/>
      <c r="M165" s="527"/>
    </row>
    <row r="166" spans="1:13">
      <c r="A166" s="529"/>
      <c r="B166" s="530"/>
      <c r="C166" s="530"/>
      <c r="D166" s="532"/>
      <c r="E166" s="533"/>
      <c r="F166" s="533"/>
      <c r="G166" s="533"/>
      <c r="H166" s="533"/>
      <c r="I166" s="535"/>
      <c r="J166" s="533"/>
      <c r="K166" s="533"/>
    </row>
    <row r="167" spans="1:13">
      <c r="A167" s="529"/>
      <c r="B167" s="536"/>
      <c r="C167" s="536"/>
      <c r="D167" s="538"/>
      <c r="E167" s="533"/>
      <c r="F167" s="533"/>
      <c r="G167" s="533"/>
      <c r="H167" s="533"/>
      <c r="I167" s="533"/>
      <c r="J167" s="533"/>
      <c r="K167" s="533"/>
    </row>
  </sheetData>
  <autoFilter ref="A2:K2"/>
  <mergeCells count="2">
    <mergeCell ref="A165:E165"/>
    <mergeCell ref="A1:M1"/>
  </mergeCells>
  <dataValidations count="1">
    <dataValidation type="list" allowBlank="1" sqref="B3:B164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workbookViewId="0">
      <pane ySplit="2" topLeftCell="A3" activePane="bottomLeft" state="frozen"/>
      <selection pane="bottomLeft" activeCell="B4" sqref="B4"/>
    </sheetView>
  </sheetViews>
  <sheetFormatPr defaultColWidth="15.140625" defaultRowHeight="15" customHeight="1"/>
  <cols>
    <col min="1" max="1" width="12.85546875" customWidth="1"/>
    <col min="2" max="2" width="13.85546875" customWidth="1"/>
    <col min="3" max="4" width="9.85546875" customWidth="1"/>
    <col min="5" max="5" width="27.42578125" customWidth="1"/>
    <col min="6" max="6" width="12.42578125" customWidth="1"/>
    <col min="7" max="7" width="10" customWidth="1"/>
    <col min="8" max="8" width="7.42578125" customWidth="1"/>
    <col min="9" max="9" width="9.28515625" customWidth="1"/>
    <col min="10" max="10" width="8.42578125" customWidth="1"/>
    <col min="11" max="11" width="51.85546875" customWidth="1"/>
    <col min="12" max="12" width="6.85546875" customWidth="1"/>
  </cols>
  <sheetData>
    <row r="1" spans="1:12">
      <c r="A1" s="654" t="s">
        <v>185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3"/>
    </row>
    <row r="2" spans="1:12">
      <c r="A2" s="1" t="s">
        <v>3</v>
      </c>
      <c r="B2" s="3" t="s">
        <v>6</v>
      </c>
      <c r="C2" s="3" t="s">
        <v>8</v>
      </c>
      <c r="D2" s="1" t="s">
        <v>9</v>
      </c>
      <c r="E2" s="1" t="s">
        <v>10</v>
      </c>
      <c r="F2" s="1" t="s">
        <v>11</v>
      </c>
      <c r="G2" s="142" t="s">
        <v>12</v>
      </c>
      <c r="H2" s="143" t="s">
        <v>13</v>
      </c>
      <c r="I2" s="142" t="s">
        <v>14</v>
      </c>
      <c r="J2" s="142" t="s">
        <v>15</v>
      </c>
      <c r="K2" s="145" t="s">
        <v>16</v>
      </c>
      <c r="L2" s="3" t="s">
        <v>17</v>
      </c>
    </row>
    <row r="3" spans="1:12">
      <c r="A3" s="147">
        <v>312003</v>
      </c>
      <c r="B3" s="148" t="s">
        <v>22</v>
      </c>
      <c r="C3" s="149">
        <v>37623</v>
      </c>
      <c r="D3" s="151">
        <v>243522014</v>
      </c>
      <c r="E3" s="153" t="s">
        <v>195</v>
      </c>
      <c r="F3" s="155">
        <v>25817.439999999999</v>
      </c>
      <c r="G3" s="156">
        <f t="shared" ref="G3:G147" si="0">IF(H3=0,F3*0.1,IF(OR(B3="Descompressão",B3="MS 207002004"),(F3-I3)*0.05,(F3-I3)*0.1))</f>
        <v>2581.7440000000001</v>
      </c>
      <c r="H3" s="158">
        <v>0</v>
      </c>
      <c r="I3" s="156">
        <f t="shared" ref="I3:I147" si="1">IF(H3=100%,F3,IF(H3=0,0,(F3-(F3/(1+H3)))))</f>
        <v>0</v>
      </c>
      <c r="J3" s="156">
        <f t="shared" ref="J3:J147" si="2">IF(OR($C3&lt;DATE(2002,7,30),$C3&gt;DATE(2012,1,3)),$I3,IF(AND($C3&gt;DATE(2002,7,29),$C3&lt;DATE(2004,3,1)),$I3*0.64,IF(AND($C3&gt;DATE(2004,2,28),$C3&lt;DATE(2012,1,4)),$I3*0.658)))</f>
        <v>0</v>
      </c>
      <c r="K3" s="153" t="s">
        <v>79</v>
      </c>
      <c r="L3" s="169" t="s">
        <v>81</v>
      </c>
    </row>
    <row r="4" spans="1:12">
      <c r="A4" s="177">
        <v>312003</v>
      </c>
      <c r="B4" s="178" t="s">
        <v>22</v>
      </c>
      <c r="C4" s="179">
        <v>37623</v>
      </c>
      <c r="D4" s="181">
        <v>243592014</v>
      </c>
      <c r="E4" s="183" t="s">
        <v>216</v>
      </c>
      <c r="F4" s="184">
        <v>25215.79</v>
      </c>
      <c r="G4" s="185">
        <f t="shared" si="0"/>
        <v>2521.5790000000002</v>
      </c>
      <c r="H4" s="186">
        <v>0</v>
      </c>
      <c r="I4" s="185">
        <f t="shared" si="1"/>
        <v>0</v>
      </c>
      <c r="J4" s="185">
        <f t="shared" si="2"/>
        <v>0</v>
      </c>
      <c r="K4" s="183" t="s">
        <v>79</v>
      </c>
      <c r="L4" s="188" t="s">
        <v>81</v>
      </c>
    </row>
    <row r="5" spans="1:12">
      <c r="A5" s="190">
        <v>312003</v>
      </c>
      <c r="B5" s="201" t="s">
        <v>22</v>
      </c>
      <c r="C5" s="204">
        <v>37623</v>
      </c>
      <c r="D5" s="206">
        <v>243512014</v>
      </c>
      <c r="E5" s="208" t="s">
        <v>230</v>
      </c>
      <c r="F5" s="210">
        <v>75339.199999999997</v>
      </c>
      <c r="G5" s="212">
        <f t="shared" si="0"/>
        <v>7533.92</v>
      </c>
      <c r="H5" s="213">
        <v>0</v>
      </c>
      <c r="I5" s="212">
        <f t="shared" si="1"/>
        <v>0</v>
      </c>
      <c r="J5" s="212">
        <f t="shared" si="2"/>
        <v>0</v>
      </c>
      <c r="K5" s="208" t="s">
        <v>79</v>
      </c>
      <c r="L5" s="215" t="s">
        <v>81</v>
      </c>
    </row>
    <row r="6" spans="1:12">
      <c r="A6" s="147">
        <v>12412007</v>
      </c>
      <c r="B6" s="148" t="s">
        <v>237</v>
      </c>
      <c r="C6" s="149">
        <v>39105</v>
      </c>
      <c r="D6" s="151">
        <v>286632013</v>
      </c>
      <c r="E6" s="153" t="s">
        <v>239</v>
      </c>
      <c r="F6" s="155">
        <v>16501.72</v>
      </c>
      <c r="G6" s="156">
        <f t="shared" si="0"/>
        <v>1500.1563636363637</v>
      </c>
      <c r="H6" s="158">
        <v>0.1</v>
      </c>
      <c r="I6" s="156">
        <f t="shared" si="1"/>
        <v>1500.1563636363644</v>
      </c>
      <c r="J6" s="156">
        <f t="shared" si="2"/>
        <v>987.1028872727278</v>
      </c>
      <c r="K6" s="153" t="s">
        <v>79</v>
      </c>
      <c r="L6" s="169" t="s">
        <v>81</v>
      </c>
    </row>
    <row r="7" spans="1:12">
      <c r="A7" s="190">
        <v>12412007</v>
      </c>
      <c r="B7" s="201" t="s">
        <v>237</v>
      </c>
      <c r="C7" s="204">
        <v>39105</v>
      </c>
      <c r="D7" s="206">
        <v>286622013</v>
      </c>
      <c r="E7" s="208" t="s">
        <v>240</v>
      </c>
      <c r="F7" s="210">
        <v>14328.11</v>
      </c>
      <c r="G7" s="212">
        <f t="shared" si="0"/>
        <v>1302.5554545454545</v>
      </c>
      <c r="H7" s="213">
        <v>0.1</v>
      </c>
      <c r="I7" s="212">
        <f t="shared" si="1"/>
        <v>1302.5554545454561</v>
      </c>
      <c r="J7" s="212">
        <f t="shared" si="2"/>
        <v>857.08148909091017</v>
      </c>
      <c r="K7" s="208" t="s">
        <v>79</v>
      </c>
      <c r="L7" s="215" t="s">
        <v>81</v>
      </c>
    </row>
    <row r="8" spans="1:12">
      <c r="A8" s="218">
        <v>20202000</v>
      </c>
      <c r="B8" s="219" t="s">
        <v>22</v>
      </c>
      <c r="C8" s="220">
        <v>36570</v>
      </c>
      <c r="D8" s="222">
        <v>300512014</v>
      </c>
      <c r="E8" s="224" t="s">
        <v>246</v>
      </c>
      <c r="F8" s="225">
        <v>60509.86</v>
      </c>
      <c r="G8" s="227">
        <f t="shared" si="0"/>
        <v>5042.4883333333346</v>
      </c>
      <c r="H8" s="229">
        <v>0.2</v>
      </c>
      <c r="I8" s="227">
        <f t="shared" si="1"/>
        <v>10084.976666666662</v>
      </c>
      <c r="J8" s="227">
        <f t="shared" si="2"/>
        <v>10084.976666666662</v>
      </c>
      <c r="K8" s="233" t="s">
        <v>250</v>
      </c>
      <c r="L8" s="235" t="s">
        <v>81</v>
      </c>
    </row>
    <row r="9" spans="1:12">
      <c r="A9" s="218">
        <v>20782005</v>
      </c>
      <c r="B9" s="219" t="s">
        <v>237</v>
      </c>
      <c r="C9" s="220">
        <v>38384</v>
      </c>
      <c r="D9" s="222">
        <v>537272013</v>
      </c>
      <c r="E9" s="241" t="s">
        <v>252</v>
      </c>
      <c r="F9" s="225">
        <v>30324.38</v>
      </c>
      <c r="G9" s="227">
        <f t="shared" si="0"/>
        <v>2756.7618181818179</v>
      </c>
      <c r="H9" s="229">
        <v>0.1</v>
      </c>
      <c r="I9" s="227">
        <f t="shared" si="1"/>
        <v>2756.7618181818216</v>
      </c>
      <c r="J9" s="227">
        <f t="shared" si="2"/>
        <v>1813.9492763636388</v>
      </c>
      <c r="K9" s="241" t="s">
        <v>79</v>
      </c>
      <c r="L9" s="235" t="s">
        <v>81</v>
      </c>
    </row>
    <row r="10" spans="1:12">
      <c r="A10" s="242">
        <v>27062005</v>
      </c>
      <c r="B10" s="245" t="s">
        <v>237</v>
      </c>
      <c r="C10" s="247">
        <v>38397</v>
      </c>
      <c r="D10" s="248">
        <v>504132013</v>
      </c>
      <c r="E10" s="250" t="s">
        <v>259</v>
      </c>
      <c r="F10" s="252">
        <v>20926.39</v>
      </c>
      <c r="G10" s="253">
        <f t="shared" si="0"/>
        <v>1992.9895238095237</v>
      </c>
      <c r="H10" s="229">
        <v>0.05</v>
      </c>
      <c r="I10" s="253">
        <f t="shared" si="1"/>
        <v>996.49476190476344</v>
      </c>
      <c r="J10" s="253">
        <f t="shared" si="2"/>
        <v>655.69355333333442</v>
      </c>
      <c r="K10" s="233" t="s">
        <v>263</v>
      </c>
      <c r="L10" s="235" t="s">
        <v>81</v>
      </c>
    </row>
    <row r="11" spans="1:12">
      <c r="A11" s="218">
        <v>36532005</v>
      </c>
      <c r="B11" s="220"/>
      <c r="C11" s="220">
        <v>38412</v>
      </c>
      <c r="D11" s="222">
        <v>286932013</v>
      </c>
      <c r="E11" s="241" t="s">
        <v>264</v>
      </c>
      <c r="F11" s="225">
        <v>39196.959999999999</v>
      </c>
      <c r="G11" s="253">
        <f t="shared" si="0"/>
        <v>3919.6959999999999</v>
      </c>
      <c r="H11" s="229"/>
      <c r="I11" s="253">
        <f t="shared" si="1"/>
        <v>0</v>
      </c>
      <c r="J11" s="253">
        <f t="shared" si="2"/>
        <v>0</v>
      </c>
      <c r="K11" s="233" t="s">
        <v>166</v>
      </c>
      <c r="L11" s="235" t="s">
        <v>81</v>
      </c>
    </row>
    <row r="12" spans="1:12">
      <c r="A12" s="147">
        <v>42042003</v>
      </c>
      <c r="B12" s="149"/>
      <c r="C12" s="149">
        <v>37691</v>
      </c>
      <c r="D12" s="151">
        <v>537372013</v>
      </c>
      <c r="E12" s="153" t="s">
        <v>266</v>
      </c>
      <c r="F12" s="155">
        <v>29126.59</v>
      </c>
      <c r="G12" s="254">
        <f t="shared" si="0"/>
        <v>2912.6590000000001</v>
      </c>
      <c r="H12" s="158"/>
      <c r="I12" s="254">
        <f t="shared" si="1"/>
        <v>0</v>
      </c>
      <c r="J12" s="254">
        <f t="shared" si="2"/>
        <v>0</v>
      </c>
      <c r="K12" s="255" t="s">
        <v>166</v>
      </c>
      <c r="L12" s="169" t="s">
        <v>81</v>
      </c>
    </row>
    <row r="13" spans="1:12">
      <c r="A13" s="177">
        <v>42042003</v>
      </c>
      <c r="B13" s="179"/>
      <c r="C13" s="179">
        <v>37691</v>
      </c>
      <c r="D13" s="181">
        <v>537412013</v>
      </c>
      <c r="E13" s="257" t="s">
        <v>269</v>
      </c>
      <c r="F13" s="184">
        <v>43091.05</v>
      </c>
      <c r="G13" s="185">
        <f t="shared" si="0"/>
        <v>4309.1050000000005</v>
      </c>
      <c r="H13" s="259"/>
      <c r="I13" s="185">
        <f t="shared" si="1"/>
        <v>0</v>
      </c>
      <c r="J13" s="185">
        <f t="shared" si="2"/>
        <v>0</v>
      </c>
      <c r="K13" s="183" t="s">
        <v>79</v>
      </c>
      <c r="L13" s="188" t="s">
        <v>81</v>
      </c>
    </row>
    <row r="14" spans="1:12">
      <c r="A14" s="177">
        <v>42042003</v>
      </c>
      <c r="B14" s="179"/>
      <c r="C14" s="179">
        <v>37691</v>
      </c>
      <c r="D14" s="181">
        <v>537572013</v>
      </c>
      <c r="E14" s="183" t="s">
        <v>270</v>
      </c>
      <c r="F14" s="184">
        <v>81079.75</v>
      </c>
      <c r="G14" s="185">
        <f t="shared" si="0"/>
        <v>8107.9750000000004</v>
      </c>
      <c r="H14" s="259"/>
      <c r="I14" s="185">
        <f t="shared" si="1"/>
        <v>0</v>
      </c>
      <c r="J14" s="185">
        <f t="shared" si="2"/>
        <v>0</v>
      </c>
      <c r="K14" s="183" t="s">
        <v>79</v>
      </c>
      <c r="L14" s="188" t="s">
        <v>81</v>
      </c>
    </row>
    <row r="15" spans="1:12">
      <c r="A15" s="190">
        <v>42042003</v>
      </c>
      <c r="B15" s="204"/>
      <c r="C15" s="204">
        <v>37691</v>
      </c>
      <c r="D15" s="206">
        <v>537332013</v>
      </c>
      <c r="E15" s="208" t="s">
        <v>271</v>
      </c>
      <c r="F15" s="210">
        <v>55030.67</v>
      </c>
      <c r="G15" s="212">
        <f t="shared" si="0"/>
        <v>5503.067</v>
      </c>
      <c r="H15" s="262"/>
      <c r="I15" s="212">
        <f t="shared" si="1"/>
        <v>0</v>
      </c>
      <c r="J15" s="212">
        <f t="shared" si="2"/>
        <v>0</v>
      </c>
      <c r="K15" s="208" t="s">
        <v>79</v>
      </c>
      <c r="L15" s="215" t="s">
        <v>81</v>
      </c>
    </row>
    <row r="16" spans="1:12">
      <c r="A16" s="147">
        <v>43472003</v>
      </c>
      <c r="B16" s="149"/>
      <c r="C16" s="149">
        <v>37692</v>
      </c>
      <c r="D16" s="151">
        <v>298492014</v>
      </c>
      <c r="E16" s="153" t="s">
        <v>272</v>
      </c>
      <c r="F16" s="264">
        <v>102716.42</v>
      </c>
      <c r="G16" s="266">
        <f t="shared" si="0"/>
        <v>10271.642</v>
      </c>
      <c r="H16" s="267"/>
      <c r="I16" s="266">
        <f t="shared" si="1"/>
        <v>0</v>
      </c>
      <c r="J16" s="266">
        <f t="shared" si="2"/>
        <v>0</v>
      </c>
      <c r="K16" s="255" t="s">
        <v>79</v>
      </c>
      <c r="L16" s="169" t="s">
        <v>81</v>
      </c>
    </row>
    <row r="17" spans="1:12">
      <c r="A17" s="177">
        <v>43472003</v>
      </c>
      <c r="B17" s="179"/>
      <c r="C17" s="179">
        <v>37692</v>
      </c>
      <c r="D17" s="270">
        <v>298562014</v>
      </c>
      <c r="E17" s="272" t="s">
        <v>274</v>
      </c>
      <c r="F17" s="276">
        <v>55762.58</v>
      </c>
      <c r="G17" s="278">
        <f t="shared" si="0"/>
        <v>5576.2580000000007</v>
      </c>
      <c r="H17" s="281"/>
      <c r="I17" s="278">
        <f t="shared" si="1"/>
        <v>0</v>
      </c>
      <c r="J17" s="278">
        <f t="shared" si="2"/>
        <v>0</v>
      </c>
      <c r="K17" s="272" t="s">
        <v>148</v>
      </c>
      <c r="L17" s="188" t="s">
        <v>81</v>
      </c>
    </row>
    <row r="18" spans="1:12">
      <c r="A18" s="177">
        <v>43472003</v>
      </c>
      <c r="B18" s="179"/>
      <c r="C18" s="179">
        <v>37692</v>
      </c>
      <c r="D18" s="270">
        <v>298542014</v>
      </c>
      <c r="E18" s="272" t="s">
        <v>281</v>
      </c>
      <c r="F18" s="276">
        <v>49865.38</v>
      </c>
      <c r="G18" s="278">
        <f t="shared" si="0"/>
        <v>4986.5380000000005</v>
      </c>
      <c r="H18" s="281"/>
      <c r="I18" s="278">
        <f t="shared" si="1"/>
        <v>0</v>
      </c>
      <c r="J18" s="278">
        <f t="shared" si="2"/>
        <v>0</v>
      </c>
      <c r="K18" s="272" t="s">
        <v>283</v>
      </c>
      <c r="L18" s="188" t="s">
        <v>81</v>
      </c>
    </row>
    <row r="19" spans="1:12">
      <c r="A19" s="190">
        <v>43472003</v>
      </c>
      <c r="B19" s="204"/>
      <c r="C19" s="204">
        <v>37692</v>
      </c>
      <c r="D19" s="282">
        <v>298552014</v>
      </c>
      <c r="E19" s="284" t="s">
        <v>285</v>
      </c>
      <c r="F19" s="285">
        <v>85962.39</v>
      </c>
      <c r="G19" s="287">
        <f t="shared" si="0"/>
        <v>8596.2389999999996</v>
      </c>
      <c r="H19" s="213"/>
      <c r="I19" s="287">
        <f t="shared" si="1"/>
        <v>0</v>
      </c>
      <c r="J19" s="287">
        <f t="shared" si="2"/>
        <v>0</v>
      </c>
      <c r="K19" s="284" t="s">
        <v>148</v>
      </c>
      <c r="L19" s="215" t="s">
        <v>81</v>
      </c>
    </row>
    <row r="20" spans="1:12">
      <c r="A20" s="288">
        <v>87722004</v>
      </c>
      <c r="B20" s="289"/>
      <c r="C20" s="289">
        <v>38131</v>
      </c>
      <c r="D20" s="290">
        <v>962014</v>
      </c>
      <c r="E20" s="291" t="s">
        <v>290</v>
      </c>
      <c r="F20" s="298">
        <v>64930.44</v>
      </c>
      <c r="G20" s="300">
        <f t="shared" si="0"/>
        <v>6493.0440000000008</v>
      </c>
      <c r="H20" s="301"/>
      <c r="I20" s="300">
        <f t="shared" si="1"/>
        <v>0</v>
      </c>
      <c r="J20" s="300">
        <f t="shared" si="2"/>
        <v>0</v>
      </c>
      <c r="K20" s="304" t="s">
        <v>293</v>
      </c>
      <c r="L20" s="306" t="s">
        <v>81</v>
      </c>
    </row>
    <row r="21" spans="1:12">
      <c r="A21" s="308">
        <v>87722004</v>
      </c>
      <c r="B21" s="310"/>
      <c r="C21" s="310">
        <v>38131</v>
      </c>
      <c r="D21" s="312">
        <v>942014</v>
      </c>
      <c r="E21" s="314" t="s">
        <v>295</v>
      </c>
      <c r="F21" s="316">
        <v>75183.64</v>
      </c>
      <c r="G21" s="321">
        <f t="shared" si="0"/>
        <v>7518.3640000000005</v>
      </c>
      <c r="H21" s="322"/>
      <c r="I21" s="321">
        <f t="shared" si="1"/>
        <v>0</v>
      </c>
      <c r="J21" s="321">
        <f t="shared" si="2"/>
        <v>0</v>
      </c>
      <c r="K21" s="324" t="s">
        <v>293</v>
      </c>
      <c r="L21" s="326" t="s">
        <v>81</v>
      </c>
    </row>
    <row r="22" spans="1:12">
      <c r="A22" s="308">
        <v>87722004</v>
      </c>
      <c r="B22" s="310"/>
      <c r="C22" s="310">
        <v>38131</v>
      </c>
      <c r="D22" s="312">
        <v>952014</v>
      </c>
      <c r="E22" s="314" t="s">
        <v>301</v>
      </c>
      <c r="F22" s="316">
        <v>82065.62</v>
      </c>
      <c r="G22" s="321">
        <f t="shared" si="0"/>
        <v>8206.5619999999999</v>
      </c>
      <c r="H22" s="322"/>
      <c r="I22" s="321">
        <f t="shared" si="1"/>
        <v>0</v>
      </c>
      <c r="J22" s="321">
        <f t="shared" si="2"/>
        <v>0</v>
      </c>
      <c r="K22" s="324" t="s">
        <v>293</v>
      </c>
      <c r="L22" s="326" t="s">
        <v>81</v>
      </c>
    </row>
    <row r="23" spans="1:12">
      <c r="A23" s="329">
        <v>87722004</v>
      </c>
      <c r="B23" s="344"/>
      <c r="C23" s="344">
        <v>38131</v>
      </c>
      <c r="D23" s="346">
        <v>932014</v>
      </c>
      <c r="E23" s="356" t="s">
        <v>306</v>
      </c>
      <c r="F23" s="360">
        <f>59111.6+2955.58</f>
        <v>62067.18</v>
      </c>
      <c r="G23" s="362">
        <f t="shared" si="0"/>
        <v>6206.7180000000008</v>
      </c>
      <c r="H23" s="364"/>
      <c r="I23" s="362">
        <f t="shared" si="1"/>
        <v>0</v>
      </c>
      <c r="J23" s="362">
        <f t="shared" si="2"/>
        <v>0</v>
      </c>
      <c r="K23" s="367" t="s">
        <v>293</v>
      </c>
      <c r="L23" s="369" t="s">
        <v>81</v>
      </c>
    </row>
    <row r="24" spans="1:12">
      <c r="A24" s="147">
        <v>87912006</v>
      </c>
      <c r="B24" s="148" t="s">
        <v>237</v>
      </c>
      <c r="C24" s="149">
        <v>38854</v>
      </c>
      <c r="D24" s="151">
        <v>557462013</v>
      </c>
      <c r="E24" s="153" t="s">
        <v>316</v>
      </c>
      <c r="F24" s="155">
        <v>20023.2</v>
      </c>
      <c r="G24" s="156">
        <f t="shared" si="0"/>
        <v>1668.6000000000001</v>
      </c>
      <c r="H24" s="158">
        <v>0.2</v>
      </c>
      <c r="I24" s="156">
        <f t="shared" si="1"/>
        <v>3337.2000000000007</v>
      </c>
      <c r="J24" s="156">
        <f t="shared" si="2"/>
        <v>2195.8776000000007</v>
      </c>
      <c r="K24" s="153" t="s">
        <v>79</v>
      </c>
      <c r="L24" s="169" t="s">
        <v>81</v>
      </c>
    </row>
    <row r="25" spans="1:12">
      <c r="A25" s="190">
        <v>87912006</v>
      </c>
      <c r="B25" s="201" t="s">
        <v>237</v>
      </c>
      <c r="C25" s="204">
        <v>38854</v>
      </c>
      <c r="D25" s="206">
        <v>557502013</v>
      </c>
      <c r="E25" s="208" t="s">
        <v>317</v>
      </c>
      <c r="F25" s="210">
        <v>19321.37</v>
      </c>
      <c r="G25" s="287">
        <f t="shared" si="0"/>
        <v>1610.1141666666667</v>
      </c>
      <c r="H25" s="213">
        <v>0.2</v>
      </c>
      <c r="I25" s="287">
        <f t="shared" si="1"/>
        <v>3220.2283333333326</v>
      </c>
      <c r="J25" s="287">
        <f t="shared" si="2"/>
        <v>2118.9102433333328</v>
      </c>
      <c r="K25" s="284" t="s">
        <v>166</v>
      </c>
      <c r="L25" s="215" t="s">
        <v>81</v>
      </c>
    </row>
    <row r="26" spans="1:12">
      <c r="A26" s="218">
        <v>92342005</v>
      </c>
      <c r="B26" s="220"/>
      <c r="C26" s="220">
        <v>38492</v>
      </c>
      <c r="D26" s="222">
        <v>286282013</v>
      </c>
      <c r="E26" s="241" t="s">
        <v>319</v>
      </c>
      <c r="F26" s="225">
        <v>109320.28</v>
      </c>
      <c r="G26" s="227">
        <f t="shared" si="0"/>
        <v>10932.028</v>
      </c>
      <c r="H26" s="374"/>
      <c r="I26" s="227">
        <f t="shared" si="1"/>
        <v>0</v>
      </c>
      <c r="J26" s="227">
        <f t="shared" si="2"/>
        <v>0</v>
      </c>
      <c r="K26" s="241" t="s">
        <v>79</v>
      </c>
      <c r="L26" s="235" t="s">
        <v>81</v>
      </c>
    </row>
    <row r="27" spans="1:12">
      <c r="A27" s="147">
        <v>94242008</v>
      </c>
      <c r="B27" s="149"/>
      <c r="C27" s="149">
        <v>39552</v>
      </c>
      <c r="D27" s="151">
        <v>537322013</v>
      </c>
      <c r="E27" s="153" t="s">
        <v>321</v>
      </c>
      <c r="F27" s="155">
        <v>128264.17</v>
      </c>
      <c r="G27" s="156">
        <f t="shared" si="0"/>
        <v>12826.417000000001</v>
      </c>
      <c r="H27" s="379"/>
      <c r="I27" s="156">
        <f t="shared" si="1"/>
        <v>0</v>
      </c>
      <c r="J27" s="156">
        <f t="shared" si="2"/>
        <v>0</v>
      </c>
      <c r="K27" s="153" t="s">
        <v>79</v>
      </c>
      <c r="L27" s="169" t="s">
        <v>81</v>
      </c>
    </row>
    <row r="28" spans="1:12">
      <c r="A28" s="177">
        <v>94242008</v>
      </c>
      <c r="B28" s="179"/>
      <c r="C28" s="179">
        <v>39552</v>
      </c>
      <c r="D28" s="181">
        <v>537342013</v>
      </c>
      <c r="E28" s="183" t="s">
        <v>325</v>
      </c>
      <c r="F28" s="184">
        <v>281922.13</v>
      </c>
      <c r="G28" s="381">
        <f t="shared" si="0"/>
        <v>28192.213000000003</v>
      </c>
      <c r="H28" s="186"/>
      <c r="I28" s="381">
        <f t="shared" si="1"/>
        <v>0</v>
      </c>
      <c r="J28" s="381">
        <f t="shared" si="2"/>
        <v>0</v>
      </c>
      <c r="K28" s="272" t="s">
        <v>330</v>
      </c>
      <c r="L28" s="188" t="s">
        <v>81</v>
      </c>
    </row>
    <row r="29" spans="1:12">
      <c r="A29" s="190">
        <v>94242008</v>
      </c>
      <c r="B29" s="204"/>
      <c r="C29" s="204">
        <v>39552</v>
      </c>
      <c r="D29" s="206">
        <v>537482013</v>
      </c>
      <c r="E29" s="208" t="s">
        <v>331</v>
      </c>
      <c r="F29" s="210">
        <v>116116.42</v>
      </c>
      <c r="G29" s="212">
        <f t="shared" si="0"/>
        <v>11611.642</v>
      </c>
      <c r="H29" s="262"/>
      <c r="I29" s="212">
        <f t="shared" si="1"/>
        <v>0</v>
      </c>
      <c r="J29" s="212">
        <f t="shared" si="2"/>
        <v>0</v>
      </c>
      <c r="K29" s="208" t="s">
        <v>79</v>
      </c>
      <c r="L29" s="215" t="s">
        <v>81</v>
      </c>
    </row>
    <row r="30" spans="1:12">
      <c r="A30" s="147">
        <v>127162003</v>
      </c>
      <c r="B30" s="149"/>
      <c r="C30" s="149">
        <v>37832</v>
      </c>
      <c r="D30" s="151">
        <v>1062014</v>
      </c>
      <c r="E30" s="153" t="s">
        <v>333</v>
      </c>
      <c r="F30" s="155">
        <v>34359.85</v>
      </c>
      <c r="G30" s="156">
        <f t="shared" si="0"/>
        <v>3435.9850000000001</v>
      </c>
      <c r="H30" s="379"/>
      <c r="I30" s="156">
        <f t="shared" si="1"/>
        <v>0</v>
      </c>
      <c r="J30" s="156">
        <f t="shared" si="2"/>
        <v>0</v>
      </c>
      <c r="K30" s="153" t="s">
        <v>79</v>
      </c>
      <c r="L30" s="169" t="s">
        <v>81</v>
      </c>
    </row>
    <row r="31" spans="1:12">
      <c r="A31" s="177">
        <v>127162003</v>
      </c>
      <c r="B31" s="179"/>
      <c r="C31" s="179">
        <v>37832</v>
      </c>
      <c r="D31" s="181">
        <v>1082014</v>
      </c>
      <c r="E31" s="183" t="s">
        <v>336</v>
      </c>
      <c r="F31" s="184">
        <v>26264.720000000001</v>
      </c>
      <c r="G31" s="185">
        <f t="shared" si="0"/>
        <v>2626.4720000000002</v>
      </c>
      <c r="H31" s="259"/>
      <c r="I31" s="185">
        <f t="shared" si="1"/>
        <v>0</v>
      </c>
      <c r="J31" s="185">
        <f t="shared" si="2"/>
        <v>0</v>
      </c>
      <c r="K31" s="183" t="s">
        <v>79</v>
      </c>
      <c r="L31" s="188" t="s">
        <v>81</v>
      </c>
    </row>
    <row r="32" spans="1:12">
      <c r="A32" s="177">
        <v>127162003</v>
      </c>
      <c r="B32" s="179"/>
      <c r="C32" s="179">
        <v>37832</v>
      </c>
      <c r="D32" s="181">
        <v>1112014</v>
      </c>
      <c r="E32" s="183" t="s">
        <v>337</v>
      </c>
      <c r="F32" s="184">
        <v>27024.5</v>
      </c>
      <c r="G32" s="381">
        <f t="shared" si="0"/>
        <v>2702.4500000000003</v>
      </c>
      <c r="H32" s="186"/>
      <c r="I32" s="381">
        <f t="shared" si="1"/>
        <v>0</v>
      </c>
      <c r="J32" s="381">
        <f t="shared" si="2"/>
        <v>0</v>
      </c>
      <c r="K32" s="272" t="s">
        <v>327</v>
      </c>
      <c r="L32" s="188" t="s">
        <v>81</v>
      </c>
    </row>
    <row r="33" spans="1:12">
      <c r="A33" s="190">
        <v>127162003</v>
      </c>
      <c r="B33" s="204"/>
      <c r="C33" s="204">
        <v>37832</v>
      </c>
      <c r="D33" s="206">
        <v>1092014</v>
      </c>
      <c r="E33" s="208" t="s">
        <v>338</v>
      </c>
      <c r="F33" s="210">
        <v>41514.949999999997</v>
      </c>
      <c r="G33" s="212">
        <f t="shared" si="0"/>
        <v>4151.4949999999999</v>
      </c>
      <c r="H33" s="262"/>
      <c r="I33" s="212">
        <f t="shared" si="1"/>
        <v>0</v>
      </c>
      <c r="J33" s="212">
        <f t="shared" si="2"/>
        <v>0</v>
      </c>
      <c r="K33" s="208" t="s">
        <v>79</v>
      </c>
      <c r="L33" s="215" t="s">
        <v>81</v>
      </c>
    </row>
    <row r="34" spans="1:12">
      <c r="A34" s="147">
        <v>127242003</v>
      </c>
      <c r="B34" s="149"/>
      <c r="C34" s="149">
        <v>37832</v>
      </c>
      <c r="D34" s="151">
        <v>271352013</v>
      </c>
      <c r="E34" s="153" t="s">
        <v>341</v>
      </c>
      <c r="F34" s="155">
        <v>51740.03</v>
      </c>
      <c r="G34" s="156">
        <f t="shared" si="0"/>
        <v>5174.0030000000006</v>
      </c>
      <c r="H34" s="379"/>
      <c r="I34" s="156">
        <f t="shared" si="1"/>
        <v>0</v>
      </c>
      <c r="J34" s="156">
        <f t="shared" si="2"/>
        <v>0</v>
      </c>
      <c r="K34" s="153" t="s">
        <v>79</v>
      </c>
      <c r="L34" s="169" t="s">
        <v>81</v>
      </c>
    </row>
    <row r="35" spans="1:12">
      <c r="A35" s="190">
        <v>127242003</v>
      </c>
      <c r="B35" s="204"/>
      <c r="C35" s="204">
        <v>37832</v>
      </c>
      <c r="D35" s="206">
        <v>271342013</v>
      </c>
      <c r="E35" s="208" t="s">
        <v>343</v>
      </c>
      <c r="F35" s="210">
        <v>32454.7</v>
      </c>
      <c r="G35" s="212">
        <f t="shared" si="0"/>
        <v>3245.4700000000003</v>
      </c>
      <c r="H35" s="262"/>
      <c r="I35" s="212">
        <f t="shared" si="1"/>
        <v>0</v>
      </c>
      <c r="J35" s="212">
        <f t="shared" si="2"/>
        <v>0</v>
      </c>
      <c r="K35" s="208" t="s">
        <v>79</v>
      </c>
      <c r="L35" s="215" t="s">
        <v>81</v>
      </c>
    </row>
    <row r="36" spans="1:12">
      <c r="A36" s="218">
        <v>150822002</v>
      </c>
      <c r="B36" s="220"/>
      <c r="C36" s="220">
        <v>37505</v>
      </c>
      <c r="D36" s="222">
        <v>105052014</v>
      </c>
      <c r="E36" s="241" t="s">
        <v>344</v>
      </c>
      <c r="F36" s="225">
        <v>23532.81</v>
      </c>
      <c r="G36" s="227">
        <f t="shared" si="0"/>
        <v>2353.2810000000004</v>
      </c>
      <c r="H36" s="374"/>
      <c r="I36" s="227">
        <f t="shared" si="1"/>
        <v>0</v>
      </c>
      <c r="J36" s="227">
        <f t="shared" si="2"/>
        <v>0</v>
      </c>
      <c r="K36" s="241" t="s">
        <v>79</v>
      </c>
      <c r="L36" s="235" t="s">
        <v>81</v>
      </c>
    </row>
    <row r="37" spans="1:12">
      <c r="A37" s="218">
        <v>166042006</v>
      </c>
      <c r="B37" s="219" t="s">
        <v>237</v>
      </c>
      <c r="C37" s="220">
        <v>38917</v>
      </c>
      <c r="D37" s="222">
        <v>298442014</v>
      </c>
      <c r="E37" s="241" t="s">
        <v>345</v>
      </c>
      <c r="F37" s="225">
        <v>17231.84</v>
      </c>
      <c r="G37" s="227">
        <f t="shared" si="0"/>
        <v>1566.5309090909091</v>
      </c>
      <c r="H37" s="229">
        <v>0.1</v>
      </c>
      <c r="I37" s="227">
        <f t="shared" si="1"/>
        <v>1566.5309090909104</v>
      </c>
      <c r="J37" s="227">
        <f t="shared" si="2"/>
        <v>1030.777338181819</v>
      </c>
      <c r="K37" s="233" t="s">
        <v>254</v>
      </c>
      <c r="L37" s="235" t="s">
        <v>81</v>
      </c>
    </row>
    <row r="38" spans="1:12">
      <c r="A38" s="147">
        <v>171762008</v>
      </c>
      <c r="B38" s="149"/>
      <c r="C38" s="149">
        <v>39629</v>
      </c>
      <c r="D38" s="151">
        <v>294022014</v>
      </c>
      <c r="E38" s="153" t="s">
        <v>347</v>
      </c>
      <c r="F38" s="155">
        <f>76721.0900210195+77869.09</f>
        <v>154590.18002101948</v>
      </c>
      <c r="G38" s="254">
        <f t="shared" si="0"/>
        <v>15459.018002101948</v>
      </c>
      <c r="H38" s="158"/>
      <c r="I38" s="254">
        <f t="shared" si="1"/>
        <v>0</v>
      </c>
      <c r="J38" s="254">
        <f t="shared" si="2"/>
        <v>0</v>
      </c>
      <c r="K38" s="255" t="s">
        <v>148</v>
      </c>
      <c r="L38" s="169" t="s">
        <v>81</v>
      </c>
    </row>
    <row r="39" spans="1:12">
      <c r="A39" s="177">
        <v>171762008</v>
      </c>
      <c r="B39" s="179"/>
      <c r="C39" s="179">
        <v>39629</v>
      </c>
      <c r="D39" s="181">
        <v>293992014</v>
      </c>
      <c r="E39" s="183" t="s">
        <v>348</v>
      </c>
      <c r="F39" s="184">
        <v>77263.133539176153</v>
      </c>
      <c r="G39" s="185">
        <f t="shared" si="0"/>
        <v>7726.313353917616</v>
      </c>
      <c r="H39" s="259"/>
      <c r="I39" s="185">
        <f t="shared" si="1"/>
        <v>0</v>
      </c>
      <c r="J39" s="185">
        <f t="shared" si="2"/>
        <v>0</v>
      </c>
      <c r="K39" s="183" t="s">
        <v>79</v>
      </c>
      <c r="L39" s="188" t="s">
        <v>81</v>
      </c>
    </row>
    <row r="40" spans="1:12">
      <c r="A40" s="190">
        <v>171762008</v>
      </c>
      <c r="B40" s="204"/>
      <c r="C40" s="204">
        <v>39629</v>
      </c>
      <c r="D40" s="206">
        <v>293962014</v>
      </c>
      <c r="E40" s="208" t="s">
        <v>349</v>
      </c>
      <c r="F40" s="285">
        <v>50970.33</v>
      </c>
      <c r="G40" s="212">
        <f t="shared" si="0"/>
        <v>5097.0330000000004</v>
      </c>
      <c r="H40" s="262"/>
      <c r="I40" s="212">
        <f t="shared" si="1"/>
        <v>0</v>
      </c>
      <c r="J40" s="212">
        <f t="shared" si="2"/>
        <v>0</v>
      </c>
      <c r="K40" s="208" t="s">
        <v>79</v>
      </c>
      <c r="L40" s="215" t="s">
        <v>81</v>
      </c>
    </row>
    <row r="41" spans="1:12">
      <c r="A41" s="147">
        <v>176872002</v>
      </c>
      <c r="B41" s="149"/>
      <c r="C41" s="149">
        <v>37546</v>
      </c>
      <c r="D41" s="151">
        <v>537312013</v>
      </c>
      <c r="E41" s="153" t="s">
        <v>351</v>
      </c>
      <c r="F41" s="155">
        <v>14108.51</v>
      </c>
      <c r="G41" s="156">
        <f t="shared" si="0"/>
        <v>1410.8510000000001</v>
      </c>
      <c r="H41" s="379"/>
      <c r="I41" s="156">
        <f t="shared" si="1"/>
        <v>0</v>
      </c>
      <c r="J41" s="156">
        <f t="shared" si="2"/>
        <v>0</v>
      </c>
      <c r="K41" s="153" t="s">
        <v>79</v>
      </c>
      <c r="L41" s="169" t="s">
        <v>81</v>
      </c>
    </row>
    <row r="42" spans="1:12">
      <c r="A42" s="177">
        <v>176872002</v>
      </c>
      <c r="B42" s="179"/>
      <c r="C42" s="179">
        <v>37546</v>
      </c>
      <c r="D42" s="181">
        <v>537542013</v>
      </c>
      <c r="E42" s="183" t="s">
        <v>354</v>
      </c>
      <c r="F42" s="184">
        <v>55580.28</v>
      </c>
      <c r="G42" s="185">
        <f t="shared" si="0"/>
        <v>5558.0280000000002</v>
      </c>
      <c r="H42" s="259"/>
      <c r="I42" s="185">
        <f t="shared" si="1"/>
        <v>0</v>
      </c>
      <c r="J42" s="185">
        <f t="shared" si="2"/>
        <v>0</v>
      </c>
      <c r="K42" s="183" t="s">
        <v>79</v>
      </c>
      <c r="L42" s="188" t="s">
        <v>81</v>
      </c>
    </row>
    <row r="43" spans="1:12">
      <c r="A43" s="190">
        <v>176872002</v>
      </c>
      <c r="B43" s="204"/>
      <c r="C43" s="204">
        <v>37546</v>
      </c>
      <c r="D43" s="206">
        <v>537442013</v>
      </c>
      <c r="E43" s="208" t="s">
        <v>357</v>
      </c>
      <c r="F43" s="210">
        <v>65009</v>
      </c>
      <c r="G43" s="212">
        <f t="shared" si="0"/>
        <v>6500.9000000000005</v>
      </c>
      <c r="H43" s="262"/>
      <c r="I43" s="212">
        <f t="shared" si="1"/>
        <v>0</v>
      </c>
      <c r="J43" s="212">
        <f t="shared" si="2"/>
        <v>0</v>
      </c>
      <c r="K43" s="208" t="s">
        <v>79</v>
      </c>
      <c r="L43" s="215" t="s">
        <v>81</v>
      </c>
    </row>
    <row r="44" spans="1:12">
      <c r="A44" s="400">
        <v>176892002</v>
      </c>
      <c r="B44" s="149"/>
      <c r="C44" s="149">
        <v>37547</v>
      </c>
      <c r="D44" s="151">
        <v>258482014</v>
      </c>
      <c r="E44" s="153" t="s">
        <v>360</v>
      </c>
      <c r="F44" s="155">
        <v>15097.44</v>
      </c>
      <c r="G44" s="156">
        <f t="shared" si="0"/>
        <v>1509.7440000000001</v>
      </c>
      <c r="H44" s="379"/>
      <c r="I44" s="156">
        <f t="shared" si="1"/>
        <v>0</v>
      </c>
      <c r="J44" s="156">
        <f t="shared" si="2"/>
        <v>0</v>
      </c>
      <c r="K44" s="153" t="s">
        <v>79</v>
      </c>
      <c r="L44" s="169" t="s">
        <v>81</v>
      </c>
    </row>
    <row r="45" spans="1:12">
      <c r="A45" s="177">
        <v>176892002</v>
      </c>
      <c r="B45" s="179"/>
      <c r="C45" s="179">
        <v>37547</v>
      </c>
      <c r="D45" s="181">
        <v>258492014</v>
      </c>
      <c r="E45" s="183" t="s">
        <v>362</v>
      </c>
      <c r="F45" s="184">
        <v>25874.71</v>
      </c>
      <c r="G45" s="185">
        <f t="shared" si="0"/>
        <v>2587.471</v>
      </c>
      <c r="H45" s="259"/>
      <c r="I45" s="185">
        <f t="shared" si="1"/>
        <v>0</v>
      </c>
      <c r="J45" s="185">
        <f t="shared" si="2"/>
        <v>0</v>
      </c>
      <c r="K45" s="183" t="s">
        <v>79</v>
      </c>
      <c r="L45" s="188" t="s">
        <v>81</v>
      </c>
    </row>
    <row r="46" spans="1:12">
      <c r="A46" s="177">
        <v>176892002</v>
      </c>
      <c r="B46" s="179"/>
      <c r="C46" s="179">
        <v>37547</v>
      </c>
      <c r="D46" s="181">
        <v>258512014</v>
      </c>
      <c r="E46" s="183" t="s">
        <v>363</v>
      </c>
      <c r="F46" s="404">
        <v>47677.56</v>
      </c>
      <c r="G46" s="185">
        <f t="shared" si="0"/>
        <v>4767.7560000000003</v>
      </c>
      <c r="H46" s="259"/>
      <c r="I46" s="185">
        <f t="shared" si="1"/>
        <v>0</v>
      </c>
      <c r="J46" s="185">
        <f t="shared" si="2"/>
        <v>0</v>
      </c>
      <c r="K46" s="183" t="s">
        <v>79</v>
      </c>
      <c r="L46" s="188" t="s">
        <v>81</v>
      </c>
    </row>
    <row r="47" spans="1:12">
      <c r="A47" s="177">
        <v>176892002</v>
      </c>
      <c r="B47" s="179"/>
      <c r="C47" s="179">
        <v>37547</v>
      </c>
      <c r="D47" s="181">
        <v>258532014</v>
      </c>
      <c r="E47" s="183" t="s">
        <v>366</v>
      </c>
      <c r="F47" s="184">
        <v>44940.27</v>
      </c>
      <c r="G47" s="185">
        <f t="shared" si="0"/>
        <v>4494.027</v>
      </c>
      <c r="H47" s="259"/>
      <c r="I47" s="185">
        <f t="shared" si="1"/>
        <v>0</v>
      </c>
      <c r="J47" s="185">
        <f t="shared" si="2"/>
        <v>0</v>
      </c>
      <c r="K47" s="183" t="s">
        <v>79</v>
      </c>
      <c r="L47" s="188" t="s">
        <v>81</v>
      </c>
    </row>
    <row r="48" spans="1:12">
      <c r="A48" s="190">
        <v>176892002</v>
      </c>
      <c r="B48" s="204"/>
      <c r="C48" s="204">
        <v>37547</v>
      </c>
      <c r="D48" s="206">
        <v>258542014</v>
      </c>
      <c r="E48" s="208" t="s">
        <v>367</v>
      </c>
      <c r="F48" s="285">
        <v>62240.92</v>
      </c>
      <c r="G48" s="212">
        <f t="shared" si="0"/>
        <v>6224.0920000000006</v>
      </c>
      <c r="H48" s="262"/>
      <c r="I48" s="212">
        <f t="shared" si="1"/>
        <v>0</v>
      </c>
      <c r="J48" s="212">
        <f t="shared" si="2"/>
        <v>0</v>
      </c>
      <c r="K48" s="208" t="s">
        <v>79</v>
      </c>
      <c r="L48" s="215" t="s">
        <v>81</v>
      </c>
    </row>
    <row r="49" spans="1:12">
      <c r="A49" s="242">
        <v>184272008</v>
      </c>
      <c r="B49" s="247"/>
      <c r="C49" s="247">
        <v>39644</v>
      </c>
      <c r="D49" s="248">
        <v>447092013</v>
      </c>
      <c r="E49" s="250" t="s">
        <v>368</v>
      </c>
      <c r="F49" s="252">
        <v>26229.03</v>
      </c>
      <c r="G49" s="227">
        <f t="shared" si="0"/>
        <v>2622.9030000000002</v>
      </c>
      <c r="H49" s="374"/>
      <c r="I49" s="227">
        <f t="shared" si="1"/>
        <v>0</v>
      </c>
      <c r="J49" s="227">
        <f t="shared" si="2"/>
        <v>0</v>
      </c>
      <c r="K49" s="241" t="s">
        <v>79</v>
      </c>
      <c r="L49" s="235" t="s">
        <v>81</v>
      </c>
    </row>
    <row r="50" spans="1:12">
      <c r="A50" s="147">
        <v>184552003</v>
      </c>
      <c r="B50" s="149"/>
      <c r="C50" s="149">
        <v>37922</v>
      </c>
      <c r="D50" s="151">
        <v>60502014</v>
      </c>
      <c r="E50" s="153" t="s">
        <v>371</v>
      </c>
      <c r="F50" s="155">
        <v>44515.199999999997</v>
      </c>
      <c r="G50" s="254">
        <f t="shared" si="0"/>
        <v>4451.5199999999995</v>
      </c>
      <c r="H50" s="158"/>
      <c r="I50" s="254">
        <f t="shared" si="1"/>
        <v>0</v>
      </c>
      <c r="J50" s="254">
        <f t="shared" si="2"/>
        <v>0</v>
      </c>
      <c r="K50" s="255" t="s">
        <v>166</v>
      </c>
      <c r="L50" s="169" t="s">
        <v>81</v>
      </c>
    </row>
    <row r="51" spans="1:12">
      <c r="A51" s="177">
        <v>184552003</v>
      </c>
      <c r="B51" s="179"/>
      <c r="C51" s="179">
        <v>37922</v>
      </c>
      <c r="D51" s="181">
        <v>60522014</v>
      </c>
      <c r="E51" s="183" t="s">
        <v>372</v>
      </c>
      <c r="F51" s="184">
        <v>30473.1</v>
      </c>
      <c r="G51" s="185">
        <f t="shared" si="0"/>
        <v>3047.31</v>
      </c>
      <c r="H51" s="259"/>
      <c r="I51" s="185">
        <f t="shared" si="1"/>
        <v>0</v>
      </c>
      <c r="J51" s="185">
        <f t="shared" si="2"/>
        <v>0</v>
      </c>
      <c r="K51" s="183" t="s">
        <v>79</v>
      </c>
      <c r="L51" s="188" t="s">
        <v>81</v>
      </c>
    </row>
    <row r="52" spans="1:12">
      <c r="A52" s="177">
        <v>184552003</v>
      </c>
      <c r="B52" s="179"/>
      <c r="C52" s="179">
        <v>37922</v>
      </c>
      <c r="D52" s="181">
        <v>60552014</v>
      </c>
      <c r="E52" s="183" t="s">
        <v>374</v>
      </c>
      <c r="F52" s="184">
        <v>48703.9</v>
      </c>
      <c r="G52" s="185">
        <f t="shared" si="0"/>
        <v>4870.3900000000003</v>
      </c>
      <c r="H52" s="259"/>
      <c r="I52" s="185">
        <f t="shared" si="1"/>
        <v>0</v>
      </c>
      <c r="J52" s="185">
        <f t="shared" si="2"/>
        <v>0</v>
      </c>
      <c r="K52" s="183" t="s">
        <v>79</v>
      </c>
      <c r="L52" s="188" t="s">
        <v>81</v>
      </c>
    </row>
    <row r="53" spans="1:12">
      <c r="A53" s="190">
        <v>184552003</v>
      </c>
      <c r="B53" s="204"/>
      <c r="C53" s="204">
        <v>37922</v>
      </c>
      <c r="D53" s="206">
        <v>60572014</v>
      </c>
      <c r="E53" s="208" t="s">
        <v>376</v>
      </c>
      <c r="F53" s="210">
        <v>26866.560000000001</v>
      </c>
      <c r="G53" s="212">
        <f t="shared" si="0"/>
        <v>2686.6560000000004</v>
      </c>
      <c r="H53" s="262"/>
      <c r="I53" s="212">
        <f t="shared" si="1"/>
        <v>0</v>
      </c>
      <c r="J53" s="212">
        <f t="shared" si="2"/>
        <v>0</v>
      </c>
      <c r="K53" s="208" t="s">
        <v>79</v>
      </c>
      <c r="L53" s="215" t="s">
        <v>81</v>
      </c>
    </row>
    <row r="54" spans="1:12">
      <c r="A54" s="218">
        <v>211602002</v>
      </c>
      <c r="B54" s="220"/>
      <c r="C54" s="220">
        <v>37602</v>
      </c>
      <c r="D54" s="222">
        <v>286232013</v>
      </c>
      <c r="E54" s="241" t="s">
        <v>377</v>
      </c>
      <c r="F54" s="225">
        <v>28407</v>
      </c>
      <c r="G54" s="227">
        <f t="shared" si="0"/>
        <v>2840.7000000000003</v>
      </c>
      <c r="H54" s="374"/>
      <c r="I54" s="227">
        <f t="shared" si="1"/>
        <v>0</v>
      </c>
      <c r="J54" s="227">
        <f t="shared" si="2"/>
        <v>0</v>
      </c>
      <c r="K54" s="241" t="s">
        <v>79</v>
      </c>
      <c r="L54" s="235" t="s">
        <v>81</v>
      </c>
    </row>
    <row r="55" spans="1:12">
      <c r="A55" s="218">
        <v>218562006</v>
      </c>
      <c r="B55" s="220"/>
      <c r="C55" s="220">
        <v>38957</v>
      </c>
      <c r="D55" s="222">
        <v>513662013</v>
      </c>
      <c r="E55" s="241" t="s">
        <v>378</v>
      </c>
      <c r="F55" s="225">
        <v>29760.84</v>
      </c>
      <c r="G55" s="253">
        <f t="shared" si="0"/>
        <v>2976.0840000000003</v>
      </c>
      <c r="H55" s="229"/>
      <c r="I55" s="253">
        <f t="shared" si="1"/>
        <v>0</v>
      </c>
      <c r="J55" s="253">
        <f t="shared" si="2"/>
        <v>0</v>
      </c>
      <c r="K55" s="233" t="s">
        <v>166</v>
      </c>
      <c r="L55" s="235" t="s">
        <v>81</v>
      </c>
    </row>
    <row r="56" spans="1:12">
      <c r="A56" s="418">
        <v>235152007</v>
      </c>
      <c r="B56" s="420" t="s">
        <v>22</v>
      </c>
      <c r="C56" s="421">
        <v>39365</v>
      </c>
      <c r="D56" s="423">
        <v>557612013</v>
      </c>
      <c r="E56" s="425" t="s">
        <v>385</v>
      </c>
      <c r="F56" s="428">
        <v>17088.099999999999</v>
      </c>
      <c r="G56" s="430">
        <f t="shared" si="0"/>
        <v>1553.4636363636362</v>
      </c>
      <c r="H56" s="432">
        <v>0.1</v>
      </c>
      <c r="I56" s="430">
        <f t="shared" si="1"/>
        <v>1553.4636363636382</v>
      </c>
      <c r="J56" s="430">
        <f t="shared" si="2"/>
        <v>1022.179072727274</v>
      </c>
      <c r="K56" s="435" t="s">
        <v>390</v>
      </c>
      <c r="L56" s="437" t="s">
        <v>81</v>
      </c>
    </row>
    <row r="57" spans="1:12">
      <c r="A57" s="147">
        <v>246532010</v>
      </c>
      <c r="B57" s="148" t="s">
        <v>22</v>
      </c>
      <c r="C57" s="149">
        <v>40394</v>
      </c>
      <c r="D57" s="151">
        <v>60472014</v>
      </c>
      <c r="E57" s="153" t="s">
        <v>394</v>
      </c>
      <c r="F57" s="155">
        <v>108055.74</v>
      </c>
      <c r="G57" s="156">
        <f t="shared" si="0"/>
        <v>9823.249090909092</v>
      </c>
      <c r="H57" s="158">
        <v>0.1</v>
      </c>
      <c r="I57" s="156">
        <f t="shared" si="1"/>
        <v>9823.2490909090993</v>
      </c>
      <c r="J57" s="156">
        <f t="shared" si="2"/>
        <v>6463.6979018181873</v>
      </c>
      <c r="K57" s="153" t="s">
        <v>79</v>
      </c>
      <c r="L57" s="169" t="s">
        <v>81</v>
      </c>
    </row>
    <row r="58" spans="1:12">
      <c r="A58" s="177">
        <v>246532010</v>
      </c>
      <c r="B58" s="178" t="s">
        <v>22</v>
      </c>
      <c r="C58" s="179">
        <v>40394</v>
      </c>
      <c r="D58" s="181">
        <v>60412014</v>
      </c>
      <c r="E58" s="183" t="s">
        <v>397</v>
      </c>
      <c r="F58" s="184">
        <v>27898.86</v>
      </c>
      <c r="G58" s="185">
        <f t="shared" si="0"/>
        <v>2536.2600000000002</v>
      </c>
      <c r="H58" s="186">
        <v>0.1</v>
      </c>
      <c r="I58" s="185">
        <f t="shared" si="1"/>
        <v>2536.260000000002</v>
      </c>
      <c r="J58" s="185">
        <f t="shared" si="2"/>
        <v>1668.8590800000013</v>
      </c>
      <c r="K58" s="183" t="s">
        <v>79</v>
      </c>
      <c r="L58" s="188" t="s">
        <v>81</v>
      </c>
    </row>
    <row r="59" spans="1:12">
      <c r="A59" s="177">
        <v>246532010</v>
      </c>
      <c r="B59" s="178" t="s">
        <v>22</v>
      </c>
      <c r="C59" s="179">
        <v>40394</v>
      </c>
      <c r="D59" s="181">
        <v>60432014</v>
      </c>
      <c r="E59" s="183" t="s">
        <v>400</v>
      </c>
      <c r="F59" s="184">
        <v>108708.28</v>
      </c>
      <c r="G59" s="185">
        <f t="shared" si="0"/>
        <v>9882.5709090909077</v>
      </c>
      <c r="H59" s="186">
        <v>0.1</v>
      </c>
      <c r="I59" s="185">
        <f t="shared" si="1"/>
        <v>9882.5709090909222</v>
      </c>
      <c r="J59" s="185">
        <f t="shared" si="2"/>
        <v>6502.7316581818268</v>
      </c>
      <c r="K59" s="183" t="s">
        <v>79</v>
      </c>
      <c r="L59" s="188" t="s">
        <v>81</v>
      </c>
    </row>
    <row r="60" spans="1:12">
      <c r="A60" s="190">
        <v>246532010</v>
      </c>
      <c r="B60" s="201" t="s">
        <v>22</v>
      </c>
      <c r="C60" s="204">
        <v>40394</v>
      </c>
      <c r="D60" s="206">
        <v>60452014</v>
      </c>
      <c r="E60" s="208" t="s">
        <v>402</v>
      </c>
      <c r="F60" s="210">
        <v>107589.88</v>
      </c>
      <c r="G60" s="212">
        <f t="shared" si="0"/>
        <v>9780.8981818181819</v>
      </c>
      <c r="H60" s="213">
        <v>0.1</v>
      </c>
      <c r="I60" s="212">
        <f t="shared" si="1"/>
        <v>9780.8981818181928</v>
      </c>
      <c r="J60" s="212">
        <f t="shared" si="2"/>
        <v>6435.831003636371</v>
      </c>
      <c r="K60" s="208" t="s">
        <v>79</v>
      </c>
      <c r="L60" s="215" t="s">
        <v>81</v>
      </c>
    </row>
    <row r="61" spans="1:12">
      <c r="A61" s="218">
        <v>136282002</v>
      </c>
      <c r="B61" s="220"/>
      <c r="C61" s="220">
        <v>37481</v>
      </c>
      <c r="D61" s="222">
        <v>292722014</v>
      </c>
      <c r="E61" s="241" t="s">
        <v>405</v>
      </c>
      <c r="F61" s="438">
        <v>80084.73</v>
      </c>
      <c r="G61" s="227">
        <f t="shared" si="0"/>
        <v>8008.473</v>
      </c>
      <c r="H61" s="374"/>
      <c r="I61" s="227">
        <f t="shared" si="1"/>
        <v>0</v>
      </c>
      <c r="J61" s="227">
        <f t="shared" si="2"/>
        <v>0</v>
      </c>
      <c r="K61" s="241" t="s">
        <v>79</v>
      </c>
      <c r="L61" s="235" t="s">
        <v>81</v>
      </c>
    </row>
    <row r="62" spans="1:12">
      <c r="A62" s="147">
        <v>74382005</v>
      </c>
      <c r="B62" s="149"/>
      <c r="C62" s="149">
        <v>38468</v>
      </c>
      <c r="D62" s="151">
        <v>298482014</v>
      </c>
      <c r="E62" s="153" t="s">
        <v>410</v>
      </c>
      <c r="F62" s="155"/>
      <c r="G62" s="254">
        <f t="shared" si="0"/>
        <v>0</v>
      </c>
      <c r="H62" s="158"/>
      <c r="I62" s="254">
        <f t="shared" si="1"/>
        <v>0</v>
      </c>
      <c r="J62" s="254">
        <f t="shared" si="2"/>
        <v>0</v>
      </c>
      <c r="K62" s="255" t="s">
        <v>148</v>
      </c>
      <c r="L62" s="169" t="s">
        <v>81</v>
      </c>
    </row>
    <row r="63" spans="1:12">
      <c r="A63" s="177">
        <v>74382005</v>
      </c>
      <c r="B63" s="179"/>
      <c r="C63" s="179">
        <v>38468</v>
      </c>
      <c r="D63" s="181">
        <v>298462014</v>
      </c>
      <c r="E63" s="183" t="s">
        <v>412</v>
      </c>
      <c r="F63" s="184"/>
      <c r="G63" s="185">
        <f t="shared" si="0"/>
        <v>0</v>
      </c>
      <c r="H63" s="259"/>
      <c r="I63" s="185">
        <f t="shared" si="1"/>
        <v>0</v>
      </c>
      <c r="J63" s="185">
        <f t="shared" si="2"/>
        <v>0</v>
      </c>
      <c r="K63" s="183" t="s">
        <v>79</v>
      </c>
      <c r="L63" s="188" t="s">
        <v>81</v>
      </c>
    </row>
    <row r="64" spans="1:12">
      <c r="A64" s="190">
        <v>74382005</v>
      </c>
      <c r="B64" s="204"/>
      <c r="C64" s="204">
        <v>38468</v>
      </c>
      <c r="D64" s="206">
        <v>298432014</v>
      </c>
      <c r="E64" s="208" t="s">
        <v>416</v>
      </c>
      <c r="F64" s="285">
        <v>43119.040000000001</v>
      </c>
      <c r="G64" s="287">
        <f t="shared" si="0"/>
        <v>4311.9040000000005</v>
      </c>
      <c r="H64" s="213"/>
      <c r="I64" s="287">
        <f t="shared" si="1"/>
        <v>0</v>
      </c>
      <c r="J64" s="287">
        <f t="shared" si="2"/>
        <v>0</v>
      </c>
      <c r="K64" s="284" t="s">
        <v>166</v>
      </c>
      <c r="L64" s="215" t="s">
        <v>81</v>
      </c>
    </row>
    <row r="65" spans="1:12">
      <c r="A65" s="147">
        <v>21542003</v>
      </c>
      <c r="B65" s="149"/>
      <c r="C65" s="149">
        <v>37657</v>
      </c>
      <c r="D65" s="151">
        <v>275902014</v>
      </c>
      <c r="E65" s="153" t="s">
        <v>419</v>
      </c>
      <c r="F65" s="440">
        <v>39452.15</v>
      </c>
      <c r="G65" s="156">
        <f t="shared" si="0"/>
        <v>3945.2150000000001</v>
      </c>
      <c r="H65" s="379"/>
      <c r="I65" s="156">
        <f t="shared" si="1"/>
        <v>0</v>
      </c>
      <c r="J65" s="156">
        <f t="shared" si="2"/>
        <v>0</v>
      </c>
      <c r="K65" s="153" t="s">
        <v>79</v>
      </c>
      <c r="L65" s="169" t="s">
        <v>81</v>
      </c>
    </row>
    <row r="66" spans="1:12">
      <c r="A66" s="177">
        <v>21542003</v>
      </c>
      <c r="B66" s="179"/>
      <c r="C66" s="179">
        <v>37657</v>
      </c>
      <c r="D66" s="181">
        <v>275822014</v>
      </c>
      <c r="E66" s="183" t="s">
        <v>422</v>
      </c>
      <c r="F66" s="184"/>
      <c r="G66" s="185">
        <f t="shared" si="0"/>
        <v>0</v>
      </c>
      <c r="H66" s="259"/>
      <c r="I66" s="185">
        <f t="shared" si="1"/>
        <v>0</v>
      </c>
      <c r="J66" s="185">
        <f t="shared" si="2"/>
        <v>0</v>
      </c>
      <c r="K66" s="183" t="s">
        <v>79</v>
      </c>
      <c r="L66" s="188" t="s">
        <v>81</v>
      </c>
    </row>
    <row r="67" spans="1:12">
      <c r="A67" s="177">
        <v>21542003</v>
      </c>
      <c r="B67" s="179"/>
      <c r="C67" s="179">
        <v>37657</v>
      </c>
      <c r="D67" s="181">
        <v>275882014</v>
      </c>
      <c r="E67" s="183" t="s">
        <v>425</v>
      </c>
      <c r="F67" s="184">
        <v>69049.78</v>
      </c>
      <c r="G67" s="381">
        <f t="shared" si="0"/>
        <v>6904.9780000000001</v>
      </c>
      <c r="H67" s="186"/>
      <c r="I67" s="381">
        <f t="shared" si="1"/>
        <v>0</v>
      </c>
      <c r="J67" s="381">
        <f t="shared" si="2"/>
        <v>0</v>
      </c>
      <c r="K67" s="272" t="s">
        <v>148</v>
      </c>
      <c r="L67" s="188" t="s">
        <v>81</v>
      </c>
    </row>
    <row r="68" spans="1:12">
      <c r="A68" s="177">
        <v>21542003</v>
      </c>
      <c r="B68" s="179"/>
      <c r="C68" s="179">
        <v>37657</v>
      </c>
      <c r="D68" s="181">
        <v>275812014</v>
      </c>
      <c r="E68" s="183" t="s">
        <v>426</v>
      </c>
      <c r="F68" s="404">
        <v>67162.37</v>
      </c>
      <c r="G68" s="381">
        <f t="shared" si="0"/>
        <v>6716.2370000000001</v>
      </c>
      <c r="H68" s="186"/>
      <c r="I68" s="381">
        <f t="shared" si="1"/>
        <v>0</v>
      </c>
      <c r="J68" s="381">
        <f t="shared" si="2"/>
        <v>0</v>
      </c>
      <c r="K68" s="272" t="s">
        <v>428</v>
      </c>
      <c r="L68" s="188" t="s">
        <v>81</v>
      </c>
    </row>
    <row r="69" spans="1:12">
      <c r="A69" s="190">
        <v>21542003</v>
      </c>
      <c r="B69" s="204"/>
      <c r="C69" s="204">
        <v>37657</v>
      </c>
      <c r="D69" s="206">
        <v>275802014</v>
      </c>
      <c r="E69" s="208" t="s">
        <v>429</v>
      </c>
      <c r="F69" s="210"/>
      <c r="G69" s="212">
        <f t="shared" si="0"/>
        <v>0</v>
      </c>
      <c r="H69" s="262"/>
      <c r="I69" s="212">
        <f t="shared" si="1"/>
        <v>0</v>
      </c>
      <c r="J69" s="212">
        <f t="shared" si="2"/>
        <v>0</v>
      </c>
      <c r="K69" s="208" t="s">
        <v>79</v>
      </c>
      <c r="L69" s="215" t="s">
        <v>81</v>
      </c>
    </row>
    <row r="70" spans="1:12">
      <c r="A70" s="218">
        <v>14152003</v>
      </c>
      <c r="B70" s="219" t="s">
        <v>22</v>
      </c>
      <c r="C70" s="220">
        <v>37645</v>
      </c>
      <c r="D70" s="222">
        <v>254362014</v>
      </c>
      <c r="E70" s="241" t="s">
        <v>431</v>
      </c>
      <c r="F70" s="225">
        <f>82076.65+8207.66</f>
        <v>90284.31</v>
      </c>
      <c r="G70" s="253">
        <f t="shared" si="0"/>
        <v>9028.4310000000005</v>
      </c>
      <c r="H70" s="229"/>
      <c r="I70" s="253">
        <f t="shared" si="1"/>
        <v>0</v>
      </c>
      <c r="J70" s="253">
        <f t="shared" si="2"/>
        <v>0</v>
      </c>
      <c r="K70" s="233" t="s">
        <v>254</v>
      </c>
      <c r="L70" s="235" t="s">
        <v>81</v>
      </c>
    </row>
    <row r="71" spans="1:12">
      <c r="A71" s="147">
        <v>165872006</v>
      </c>
      <c r="B71" s="149"/>
      <c r="C71" s="149">
        <v>38917</v>
      </c>
      <c r="D71" s="151">
        <v>261672014</v>
      </c>
      <c r="E71" s="153" t="s">
        <v>436</v>
      </c>
      <c r="F71" s="155"/>
      <c r="G71" s="156">
        <f t="shared" si="0"/>
        <v>0</v>
      </c>
      <c r="H71" s="379"/>
      <c r="I71" s="156">
        <f t="shared" si="1"/>
        <v>0</v>
      </c>
      <c r="J71" s="156">
        <f t="shared" si="2"/>
        <v>0</v>
      </c>
      <c r="K71" s="153" t="s">
        <v>79</v>
      </c>
      <c r="L71" s="169" t="s">
        <v>81</v>
      </c>
    </row>
    <row r="72" spans="1:12">
      <c r="A72" s="177">
        <v>165872006</v>
      </c>
      <c r="B72" s="179"/>
      <c r="C72" s="179">
        <v>38917</v>
      </c>
      <c r="D72" s="181">
        <v>261662014</v>
      </c>
      <c r="E72" s="183" t="s">
        <v>437</v>
      </c>
      <c r="F72" s="404">
        <v>19078.72</v>
      </c>
      <c r="G72" s="381">
        <f t="shared" si="0"/>
        <v>1907.8720000000003</v>
      </c>
      <c r="H72" s="186"/>
      <c r="I72" s="381">
        <f t="shared" si="1"/>
        <v>0</v>
      </c>
      <c r="J72" s="381">
        <f t="shared" si="2"/>
        <v>0</v>
      </c>
      <c r="K72" s="272" t="s">
        <v>166</v>
      </c>
      <c r="L72" s="188" t="s">
        <v>81</v>
      </c>
    </row>
    <row r="73" spans="1:12">
      <c r="A73" s="177">
        <v>165872006</v>
      </c>
      <c r="B73" s="179"/>
      <c r="C73" s="179">
        <v>38917</v>
      </c>
      <c r="D73" s="181">
        <v>261682014</v>
      </c>
      <c r="E73" s="183" t="s">
        <v>440</v>
      </c>
      <c r="F73" s="184">
        <v>16378.59</v>
      </c>
      <c r="G73" s="381">
        <f t="shared" si="0"/>
        <v>1637.8590000000002</v>
      </c>
      <c r="H73" s="186"/>
      <c r="I73" s="381">
        <f t="shared" si="1"/>
        <v>0</v>
      </c>
      <c r="J73" s="381">
        <f t="shared" si="2"/>
        <v>0</v>
      </c>
      <c r="K73" s="272" t="s">
        <v>166</v>
      </c>
      <c r="L73" s="188" t="s">
        <v>81</v>
      </c>
    </row>
    <row r="74" spans="1:12">
      <c r="A74" s="177">
        <v>165872006</v>
      </c>
      <c r="B74" s="179"/>
      <c r="C74" s="179">
        <v>38917</v>
      </c>
      <c r="D74" s="181">
        <v>261692014</v>
      </c>
      <c r="E74" s="183" t="s">
        <v>441</v>
      </c>
      <c r="F74" s="184">
        <v>18785.490000000002</v>
      </c>
      <c r="G74" s="185">
        <f t="shared" si="0"/>
        <v>1878.5490000000002</v>
      </c>
      <c r="H74" s="259"/>
      <c r="I74" s="185">
        <f t="shared" si="1"/>
        <v>0</v>
      </c>
      <c r="J74" s="185">
        <f t="shared" si="2"/>
        <v>0</v>
      </c>
      <c r="K74" s="183" t="s">
        <v>79</v>
      </c>
      <c r="L74" s="188" t="s">
        <v>81</v>
      </c>
    </row>
    <row r="75" spans="1:12">
      <c r="A75" s="177">
        <v>165872006</v>
      </c>
      <c r="B75" s="179"/>
      <c r="C75" s="179">
        <v>38917</v>
      </c>
      <c r="D75" s="181">
        <v>261702014</v>
      </c>
      <c r="E75" s="183" t="s">
        <v>443</v>
      </c>
      <c r="F75" s="184"/>
      <c r="G75" s="185">
        <f t="shared" si="0"/>
        <v>0</v>
      </c>
      <c r="H75" s="259"/>
      <c r="I75" s="185">
        <f t="shared" si="1"/>
        <v>0</v>
      </c>
      <c r="J75" s="185">
        <f t="shared" si="2"/>
        <v>0</v>
      </c>
      <c r="K75" s="183" t="s">
        <v>79</v>
      </c>
      <c r="L75" s="188" t="s">
        <v>81</v>
      </c>
    </row>
    <row r="76" spans="1:12">
      <c r="A76" s="190">
        <v>165872006</v>
      </c>
      <c r="B76" s="204"/>
      <c r="C76" s="204">
        <v>38917</v>
      </c>
      <c r="D76" s="206">
        <v>261712014</v>
      </c>
      <c r="E76" s="208" t="s">
        <v>444</v>
      </c>
      <c r="F76" s="210"/>
      <c r="G76" s="212">
        <f t="shared" si="0"/>
        <v>0</v>
      </c>
      <c r="H76" s="262"/>
      <c r="I76" s="212">
        <f t="shared" si="1"/>
        <v>0</v>
      </c>
      <c r="J76" s="212">
        <f t="shared" si="2"/>
        <v>0</v>
      </c>
      <c r="K76" s="208" t="s">
        <v>79</v>
      </c>
      <c r="L76" s="215" t="s">
        <v>81</v>
      </c>
    </row>
    <row r="77" spans="1:12">
      <c r="A77" s="147">
        <v>189572009</v>
      </c>
      <c r="B77" s="149"/>
      <c r="C77" s="149">
        <v>39994</v>
      </c>
      <c r="D77" s="151">
        <v>261742014</v>
      </c>
      <c r="E77" s="153" t="s">
        <v>445</v>
      </c>
      <c r="F77" s="440">
        <v>69439.72</v>
      </c>
      <c r="G77" s="156">
        <f t="shared" si="0"/>
        <v>6943.9720000000007</v>
      </c>
      <c r="H77" s="379"/>
      <c r="I77" s="156">
        <f t="shared" si="1"/>
        <v>0</v>
      </c>
      <c r="J77" s="156">
        <f t="shared" si="2"/>
        <v>0</v>
      </c>
      <c r="K77" s="153" t="s">
        <v>79</v>
      </c>
      <c r="L77" s="169" t="s">
        <v>81</v>
      </c>
    </row>
    <row r="78" spans="1:12">
      <c r="A78" s="177">
        <v>189572009</v>
      </c>
      <c r="B78" s="179"/>
      <c r="C78" s="179">
        <v>39994</v>
      </c>
      <c r="D78" s="181">
        <v>261752014</v>
      </c>
      <c r="E78" s="183" t="s">
        <v>448</v>
      </c>
      <c r="F78" s="184">
        <v>73512.820000000007</v>
      </c>
      <c r="G78" s="185">
        <f t="shared" si="0"/>
        <v>7351.2820000000011</v>
      </c>
      <c r="H78" s="259"/>
      <c r="I78" s="185">
        <f t="shared" si="1"/>
        <v>0</v>
      </c>
      <c r="J78" s="185">
        <f t="shared" si="2"/>
        <v>0</v>
      </c>
      <c r="K78" s="183" t="s">
        <v>79</v>
      </c>
      <c r="L78" s="188" t="s">
        <v>81</v>
      </c>
    </row>
    <row r="79" spans="1:12">
      <c r="A79" s="190">
        <v>189572009</v>
      </c>
      <c r="B79" s="204"/>
      <c r="C79" s="204">
        <v>39994</v>
      </c>
      <c r="D79" s="206">
        <v>261762014</v>
      </c>
      <c r="E79" s="208" t="s">
        <v>449</v>
      </c>
      <c r="F79" s="210"/>
      <c r="G79" s="212">
        <f t="shared" si="0"/>
        <v>0</v>
      </c>
      <c r="H79" s="262"/>
      <c r="I79" s="212">
        <f t="shared" si="1"/>
        <v>0</v>
      </c>
      <c r="J79" s="212">
        <f t="shared" si="2"/>
        <v>0</v>
      </c>
      <c r="K79" s="208" t="s">
        <v>79</v>
      </c>
      <c r="L79" s="215" t="s">
        <v>81</v>
      </c>
    </row>
    <row r="80" spans="1:12">
      <c r="A80" s="147">
        <v>1532003</v>
      </c>
      <c r="B80" s="149"/>
      <c r="C80" s="149">
        <v>37628</v>
      </c>
      <c r="D80" s="151">
        <v>278032014</v>
      </c>
      <c r="E80" s="153" t="s">
        <v>451</v>
      </c>
      <c r="F80" s="155"/>
      <c r="G80" s="156">
        <f t="shared" si="0"/>
        <v>0</v>
      </c>
      <c r="H80" s="379"/>
      <c r="I80" s="156">
        <f t="shared" si="1"/>
        <v>0</v>
      </c>
      <c r="J80" s="156">
        <f t="shared" si="2"/>
        <v>0</v>
      </c>
      <c r="K80" s="153" t="s">
        <v>79</v>
      </c>
      <c r="L80" s="169" t="s">
        <v>81</v>
      </c>
    </row>
    <row r="81" spans="1:12">
      <c r="A81" s="177">
        <v>1532003</v>
      </c>
      <c r="B81" s="179"/>
      <c r="C81" s="179">
        <v>37628</v>
      </c>
      <c r="D81" s="181">
        <v>278052014</v>
      </c>
      <c r="E81" s="183" t="s">
        <v>453</v>
      </c>
      <c r="F81" s="404">
        <v>38805.440000000002</v>
      </c>
      <c r="G81" s="185">
        <f t="shared" si="0"/>
        <v>3880.5440000000003</v>
      </c>
      <c r="H81" s="259"/>
      <c r="I81" s="185">
        <f t="shared" si="1"/>
        <v>0</v>
      </c>
      <c r="J81" s="185">
        <f t="shared" si="2"/>
        <v>0</v>
      </c>
      <c r="K81" s="183" t="s">
        <v>79</v>
      </c>
      <c r="L81" s="188" t="s">
        <v>81</v>
      </c>
    </row>
    <row r="82" spans="1:12">
      <c r="A82" s="177">
        <v>1532003</v>
      </c>
      <c r="B82" s="179"/>
      <c r="C82" s="179">
        <v>37628</v>
      </c>
      <c r="D82" s="181">
        <v>278072014</v>
      </c>
      <c r="E82" s="183" t="s">
        <v>455</v>
      </c>
      <c r="F82" s="184"/>
      <c r="G82" s="185">
        <f t="shared" si="0"/>
        <v>0</v>
      </c>
      <c r="H82" s="259"/>
      <c r="I82" s="185">
        <f t="shared" si="1"/>
        <v>0</v>
      </c>
      <c r="J82" s="185">
        <f t="shared" si="2"/>
        <v>0</v>
      </c>
      <c r="K82" s="183" t="s">
        <v>79</v>
      </c>
      <c r="L82" s="188" t="s">
        <v>81</v>
      </c>
    </row>
    <row r="83" spans="1:12">
      <c r="A83" s="177">
        <v>1532003</v>
      </c>
      <c r="B83" s="179"/>
      <c r="C83" s="179">
        <v>37628</v>
      </c>
      <c r="D83" s="181">
        <v>278092014</v>
      </c>
      <c r="E83" s="183" t="s">
        <v>457</v>
      </c>
      <c r="F83" s="184">
        <v>124754.92</v>
      </c>
      <c r="G83" s="185">
        <f t="shared" si="0"/>
        <v>12475.492</v>
      </c>
      <c r="H83" s="259"/>
      <c r="I83" s="185">
        <f t="shared" si="1"/>
        <v>0</v>
      </c>
      <c r="J83" s="185">
        <f t="shared" si="2"/>
        <v>0</v>
      </c>
      <c r="K83" s="183" t="s">
        <v>79</v>
      </c>
      <c r="L83" s="188" t="s">
        <v>81</v>
      </c>
    </row>
    <row r="84" spans="1:12">
      <c r="A84" s="190">
        <v>1532003</v>
      </c>
      <c r="B84" s="204"/>
      <c r="C84" s="204">
        <v>37628</v>
      </c>
      <c r="D84" s="206">
        <v>278112014</v>
      </c>
      <c r="E84" s="208" t="s">
        <v>64</v>
      </c>
      <c r="F84" s="210">
        <v>92979.13</v>
      </c>
      <c r="G84" s="212">
        <f t="shared" si="0"/>
        <v>9297.9130000000005</v>
      </c>
      <c r="H84" s="262"/>
      <c r="I84" s="212">
        <f t="shared" si="1"/>
        <v>0</v>
      </c>
      <c r="J84" s="212">
        <f t="shared" si="2"/>
        <v>0</v>
      </c>
      <c r="K84" s="208" t="s">
        <v>79</v>
      </c>
      <c r="L84" s="215" t="s">
        <v>81</v>
      </c>
    </row>
    <row r="85" spans="1:12">
      <c r="A85" s="147">
        <v>94072008</v>
      </c>
      <c r="B85" s="149"/>
      <c r="C85" s="149">
        <v>39552</v>
      </c>
      <c r="D85" s="151">
        <v>227282014</v>
      </c>
      <c r="E85" s="153" t="s">
        <v>460</v>
      </c>
      <c r="F85" s="155"/>
      <c r="G85" s="156">
        <f t="shared" si="0"/>
        <v>0</v>
      </c>
      <c r="H85" s="379"/>
      <c r="I85" s="156">
        <f t="shared" si="1"/>
        <v>0</v>
      </c>
      <c r="J85" s="156">
        <f t="shared" si="2"/>
        <v>0</v>
      </c>
      <c r="K85" s="153" t="s">
        <v>79</v>
      </c>
      <c r="L85" s="169" t="s">
        <v>81</v>
      </c>
    </row>
    <row r="86" spans="1:12">
      <c r="A86" s="177">
        <v>94072008</v>
      </c>
      <c r="B86" s="179"/>
      <c r="C86" s="179">
        <v>39552</v>
      </c>
      <c r="D86" s="181">
        <v>227442014</v>
      </c>
      <c r="E86" s="183" t="s">
        <v>461</v>
      </c>
      <c r="F86" s="184"/>
      <c r="G86" s="185">
        <f t="shared" si="0"/>
        <v>0</v>
      </c>
      <c r="H86" s="259"/>
      <c r="I86" s="185">
        <f t="shared" si="1"/>
        <v>0</v>
      </c>
      <c r="J86" s="185">
        <f t="shared" si="2"/>
        <v>0</v>
      </c>
      <c r="K86" s="183" t="s">
        <v>79</v>
      </c>
      <c r="L86" s="188" t="s">
        <v>81</v>
      </c>
    </row>
    <row r="87" spans="1:12">
      <c r="A87" s="177">
        <v>94072008</v>
      </c>
      <c r="B87" s="179"/>
      <c r="C87" s="179">
        <v>39552</v>
      </c>
      <c r="D87" s="181">
        <v>227352014</v>
      </c>
      <c r="E87" s="183" t="s">
        <v>464</v>
      </c>
      <c r="F87" s="184"/>
      <c r="G87" s="381">
        <f t="shared" si="0"/>
        <v>0</v>
      </c>
      <c r="H87" s="186"/>
      <c r="I87" s="381">
        <f t="shared" si="1"/>
        <v>0</v>
      </c>
      <c r="J87" s="381">
        <f t="shared" si="2"/>
        <v>0</v>
      </c>
      <c r="K87" s="272" t="s">
        <v>148</v>
      </c>
      <c r="L87" s="188" t="s">
        <v>81</v>
      </c>
    </row>
    <row r="88" spans="1:12">
      <c r="A88" s="190">
        <v>94072008</v>
      </c>
      <c r="B88" s="204"/>
      <c r="C88" s="204">
        <v>39552</v>
      </c>
      <c r="D88" s="206">
        <v>227212014</v>
      </c>
      <c r="E88" s="208" t="s">
        <v>467</v>
      </c>
      <c r="F88" s="210"/>
      <c r="G88" s="212">
        <f t="shared" si="0"/>
        <v>0</v>
      </c>
      <c r="H88" s="262"/>
      <c r="I88" s="212">
        <f t="shared" si="1"/>
        <v>0</v>
      </c>
      <c r="J88" s="212">
        <f t="shared" si="2"/>
        <v>0</v>
      </c>
      <c r="K88" s="208" t="s">
        <v>79</v>
      </c>
      <c r="L88" s="215" t="s">
        <v>81</v>
      </c>
    </row>
    <row r="89" spans="1:12">
      <c r="A89" s="218">
        <v>177962006</v>
      </c>
      <c r="B89" s="220"/>
      <c r="C89" s="220">
        <v>38930</v>
      </c>
      <c r="D89" s="222">
        <v>4532014</v>
      </c>
      <c r="E89" s="241" t="s">
        <v>468</v>
      </c>
      <c r="F89" s="225">
        <v>18434.439999999999</v>
      </c>
      <c r="G89" s="227">
        <f t="shared" si="0"/>
        <v>1843.444</v>
      </c>
      <c r="H89" s="374"/>
      <c r="I89" s="227">
        <f t="shared" si="1"/>
        <v>0</v>
      </c>
      <c r="J89" s="227">
        <f t="shared" si="2"/>
        <v>0</v>
      </c>
      <c r="K89" s="241" t="s">
        <v>79</v>
      </c>
      <c r="L89" s="235" t="s">
        <v>81</v>
      </c>
    </row>
    <row r="90" spans="1:12">
      <c r="A90" s="147">
        <v>124492013</v>
      </c>
      <c r="B90" s="148" t="s">
        <v>432</v>
      </c>
      <c r="C90" s="149">
        <v>41357</v>
      </c>
      <c r="D90" s="151">
        <v>297822014</v>
      </c>
      <c r="E90" s="153" t="s">
        <v>469</v>
      </c>
      <c r="F90" s="442">
        <v>66464.45</v>
      </c>
      <c r="G90" s="254">
        <f t="shared" si="0"/>
        <v>3164.9738095238095</v>
      </c>
      <c r="H90" s="158">
        <v>0.05</v>
      </c>
      <c r="I90" s="254">
        <f t="shared" si="1"/>
        <v>3164.9738095238135</v>
      </c>
      <c r="J90" s="254">
        <f t="shared" si="2"/>
        <v>3164.9738095238135</v>
      </c>
      <c r="K90" s="255" t="s">
        <v>148</v>
      </c>
      <c r="L90" s="169" t="s">
        <v>81</v>
      </c>
    </row>
    <row r="91" spans="1:12">
      <c r="A91" s="177">
        <v>124492013</v>
      </c>
      <c r="B91" s="179" t="s">
        <v>432</v>
      </c>
      <c r="C91" s="179">
        <v>41357</v>
      </c>
      <c r="D91" s="181">
        <v>297772014</v>
      </c>
      <c r="E91" s="183" t="s">
        <v>473</v>
      </c>
      <c r="F91" s="443">
        <v>44465.91</v>
      </c>
      <c r="G91" s="381">
        <f t="shared" si="0"/>
        <v>2117.4242857142858</v>
      </c>
      <c r="H91" s="186">
        <v>0.05</v>
      </c>
      <c r="I91" s="381">
        <f t="shared" si="1"/>
        <v>2117.424285714289</v>
      </c>
      <c r="J91" s="381">
        <f t="shared" si="2"/>
        <v>2117.424285714289</v>
      </c>
      <c r="K91" s="272" t="s">
        <v>166</v>
      </c>
      <c r="L91" s="188" t="s">
        <v>81</v>
      </c>
    </row>
    <row r="92" spans="1:12">
      <c r="A92" s="177">
        <v>124492013</v>
      </c>
      <c r="B92" s="179" t="s">
        <v>432</v>
      </c>
      <c r="C92" s="179">
        <v>41357</v>
      </c>
      <c r="D92" s="181">
        <v>297682014</v>
      </c>
      <c r="E92" s="183" t="s">
        <v>475</v>
      </c>
      <c r="F92" s="443">
        <v>168012.62</v>
      </c>
      <c r="G92" s="185">
        <f t="shared" si="0"/>
        <v>8000.6009523809525</v>
      </c>
      <c r="H92" s="186">
        <v>0.05</v>
      </c>
      <c r="I92" s="185">
        <f t="shared" si="1"/>
        <v>8000.600952380948</v>
      </c>
      <c r="J92" s="185">
        <f t="shared" si="2"/>
        <v>8000.600952380948</v>
      </c>
      <c r="K92" s="183" t="s">
        <v>79</v>
      </c>
      <c r="L92" s="188" t="s">
        <v>81</v>
      </c>
    </row>
    <row r="93" spans="1:12">
      <c r="A93" s="177">
        <v>124492013</v>
      </c>
      <c r="B93" s="179" t="s">
        <v>432</v>
      </c>
      <c r="C93" s="179">
        <v>41357</v>
      </c>
      <c r="D93" s="181">
        <v>297602014</v>
      </c>
      <c r="E93" s="183" t="s">
        <v>477</v>
      </c>
      <c r="F93" s="443">
        <v>66771.960000000006</v>
      </c>
      <c r="G93" s="185">
        <f t="shared" si="0"/>
        <v>3179.6171428571433</v>
      </c>
      <c r="H93" s="186">
        <v>0.05</v>
      </c>
      <c r="I93" s="185">
        <f t="shared" si="1"/>
        <v>3179.617142857147</v>
      </c>
      <c r="J93" s="185">
        <f t="shared" si="2"/>
        <v>3179.617142857147</v>
      </c>
      <c r="K93" s="183" t="s">
        <v>79</v>
      </c>
      <c r="L93" s="188" t="s">
        <v>81</v>
      </c>
    </row>
    <row r="94" spans="1:12">
      <c r="A94" s="177">
        <v>124492013</v>
      </c>
      <c r="B94" s="179" t="s">
        <v>432</v>
      </c>
      <c r="C94" s="179">
        <v>41357</v>
      </c>
      <c r="D94" s="181">
        <v>297532014</v>
      </c>
      <c r="E94" s="183" t="s">
        <v>480</v>
      </c>
      <c r="F94" s="443">
        <v>159423.04000000001</v>
      </c>
      <c r="G94" s="381">
        <f t="shared" si="0"/>
        <v>7591.5733333333337</v>
      </c>
      <c r="H94" s="186">
        <v>0.05</v>
      </c>
      <c r="I94" s="381">
        <f t="shared" si="1"/>
        <v>7591.5733333333337</v>
      </c>
      <c r="J94" s="381">
        <f t="shared" si="2"/>
        <v>7591.5733333333337</v>
      </c>
      <c r="K94" s="272" t="s">
        <v>148</v>
      </c>
      <c r="L94" s="188" t="s">
        <v>81</v>
      </c>
    </row>
    <row r="95" spans="1:12">
      <c r="A95" s="177">
        <v>124492013</v>
      </c>
      <c r="B95" s="179" t="s">
        <v>432</v>
      </c>
      <c r="C95" s="179">
        <v>41357</v>
      </c>
      <c r="D95" s="181">
        <v>297502014</v>
      </c>
      <c r="E95" s="183" t="s">
        <v>481</v>
      </c>
      <c r="F95" s="443">
        <v>40742.03</v>
      </c>
      <c r="G95" s="381">
        <f t="shared" si="0"/>
        <v>1940.0966666666664</v>
      </c>
      <c r="H95" s="186">
        <v>0.05</v>
      </c>
      <c r="I95" s="381">
        <f t="shared" si="1"/>
        <v>1940.0966666666718</v>
      </c>
      <c r="J95" s="381">
        <f t="shared" si="2"/>
        <v>1940.0966666666718</v>
      </c>
      <c r="K95" s="272" t="s">
        <v>483</v>
      </c>
      <c r="L95" s="188" t="s">
        <v>81</v>
      </c>
    </row>
    <row r="96" spans="1:12">
      <c r="A96" s="177">
        <v>124492013</v>
      </c>
      <c r="B96" s="179" t="s">
        <v>432</v>
      </c>
      <c r="C96" s="179">
        <v>41357</v>
      </c>
      <c r="D96" s="181">
        <v>297442014</v>
      </c>
      <c r="E96" s="183" t="s">
        <v>484</v>
      </c>
      <c r="F96" s="443">
        <v>77533.990000000005</v>
      </c>
      <c r="G96" s="185">
        <f t="shared" si="0"/>
        <v>3692.094761904762</v>
      </c>
      <c r="H96" s="186">
        <v>0.05</v>
      </c>
      <c r="I96" s="185">
        <f t="shared" si="1"/>
        <v>3692.0947619047656</v>
      </c>
      <c r="J96" s="185">
        <f t="shared" si="2"/>
        <v>3692.0947619047656</v>
      </c>
      <c r="K96" s="183" t="s">
        <v>79</v>
      </c>
      <c r="L96" s="188" t="s">
        <v>81</v>
      </c>
    </row>
    <row r="97" spans="1:12">
      <c r="A97" s="177">
        <v>124492013</v>
      </c>
      <c r="B97" s="179" t="s">
        <v>432</v>
      </c>
      <c r="C97" s="179">
        <v>41357</v>
      </c>
      <c r="D97" s="181">
        <v>297832014</v>
      </c>
      <c r="E97" s="183" t="s">
        <v>485</v>
      </c>
      <c r="F97" s="443">
        <v>204935.89</v>
      </c>
      <c r="G97" s="185">
        <f t="shared" si="0"/>
        <v>9758.8519047619047</v>
      </c>
      <c r="H97" s="186">
        <v>0.05</v>
      </c>
      <c r="I97" s="185">
        <f t="shared" si="1"/>
        <v>9758.8519047619193</v>
      </c>
      <c r="J97" s="185">
        <f t="shared" si="2"/>
        <v>9758.8519047619193</v>
      </c>
      <c r="K97" s="183" t="s">
        <v>79</v>
      </c>
      <c r="L97" s="188" t="s">
        <v>81</v>
      </c>
    </row>
    <row r="98" spans="1:12">
      <c r="A98" s="177">
        <v>124492013</v>
      </c>
      <c r="B98" s="179" t="s">
        <v>432</v>
      </c>
      <c r="C98" s="179">
        <v>41357</v>
      </c>
      <c r="D98" s="181">
        <v>297362014</v>
      </c>
      <c r="E98" s="183" t="s">
        <v>486</v>
      </c>
      <c r="F98" s="447">
        <f>113940.12+97602.62</f>
        <v>211542.74</v>
      </c>
      <c r="G98" s="185">
        <f t="shared" si="0"/>
        <v>10073.46380952381</v>
      </c>
      <c r="H98" s="186">
        <v>0.05</v>
      </c>
      <c r="I98" s="185">
        <f t="shared" si="1"/>
        <v>10073.463809523819</v>
      </c>
      <c r="J98" s="185">
        <f t="shared" si="2"/>
        <v>10073.463809523819</v>
      </c>
      <c r="K98" s="183" t="s">
        <v>79</v>
      </c>
      <c r="L98" s="188" t="s">
        <v>81</v>
      </c>
    </row>
    <row r="99" spans="1:12">
      <c r="A99" s="177">
        <v>124492013</v>
      </c>
      <c r="B99" s="179" t="s">
        <v>432</v>
      </c>
      <c r="C99" s="179">
        <v>41357</v>
      </c>
      <c r="D99" s="181">
        <v>297262014</v>
      </c>
      <c r="E99" s="183" t="s">
        <v>490</v>
      </c>
      <c r="F99" s="443">
        <v>138073.60000000001</v>
      </c>
      <c r="G99" s="185">
        <f t="shared" si="0"/>
        <v>6574.9333333333334</v>
      </c>
      <c r="H99" s="186">
        <v>0.05</v>
      </c>
      <c r="I99" s="185">
        <f t="shared" si="1"/>
        <v>6574.9333333333489</v>
      </c>
      <c r="J99" s="185">
        <f t="shared" si="2"/>
        <v>6574.9333333333489</v>
      </c>
      <c r="K99" s="183" t="s">
        <v>79</v>
      </c>
      <c r="L99" s="188" t="s">
        <v>81</v>
      </c>
    </row>
    <row r="100" spans="1:12">
      <c r="A100" s="177">
        <v>124492013</v>
      </c>
      <c r="B100" s="179" t="s">
        <v>432</v>
      </c>
      <c r="C100" s="179">
        <v>41357</v>
      </c>
      <c r="D100" s="181">
        <v>296902014</v>
      </c>
      <c r="E100" s="183" t="s">
        <v>491</v>
      </c>
      <c r="F100" s="443">
        <v>159835.56</v>
      </c>
      <c r="G100" s="381">
        <f t="shared" si="0"/>
        <v>7611.2171428571428</v>
      </c>
      <c r="H100" s="186">
        <v>0.05</v>
      </c>
      <c r="I100" s="381">
        <f t="shared" si="1"/>
        <v>7611.2171428571455</v>
      </c>
      <c r="J100" s="381">
        <f t="shared" si="2"/>
        <v>7611.2171428571455</v>
      </c>
      <c r="K100" s="272" t="s">
        <v>148</v>
      </c>
      <c r="L100" s="188" t="s">
        <v>81</v>
      </c>
    </row>
    <row r="101" spans="1:12">
      <c r="A101" s="177">
        <v>124492013</v>
      </c>
      <c r="B101" s="179" t="s">
        <v>432</v>
      </c>
      <c r="C101" s="179">
        <v>41357</v>
      </c>
      <c r="D101" s="181">
        <v>297862014</v>
      </c>
      <c r="E101" s="183" t="s">
        <v>494</v>
      </c>
      <c r="F101" s="443">
        <v>128749.82</v>
      </c>
      <c r="G101" s="185">
        <f t="shared" si="0"/>
        <v>6130.9438095238102</v>
      </c>
      <c r="H101" s="186">
        <v>0.05</v>
      </c>
      <c r="I101" s="185">
        <f t="shared" si="1"/>
        <v>6130.9438095238147</v>
      </c>
      <c r="J101" s="185">
        <f t="shared" si="2"/>
        <v>6130.9438095238147</v>
      </c>
      <c r="K101" s="183" t="s">
        <v>79</v>
      </c>
      <c r="L101" s="188" t="s">
        <v>81</v>
      </c>
    </row>
    <row r="102" spans="1:12">
      <c r="A102" s="177">
        <v>124492013</v>
      </c>
      <c r="B102" s="179" t="s">
        <v>432</v>
      </c>
      <c r="C102" s="179">
        <v>41357</v>
      </c>
      <c r="D102" s="181">
        <v>297852014</v>
      </c>
      <c r="E102" s="183" t="s">
        <v>495</v>
      </c>
      <c r="F102" s="443">
        <v>55132.46</v>
      </c>
      <c r="G102" s="185">
        <f t="shared" si="0"/>
        <v>2625.3552380952383</v>
      </c>
      <c r="H102" s="186">
        <v>0.05</v>
      </c>
      <c r="I102" s="185">
        <f t="shared" si="1"/>
        <v>2625.3552380952387</v>
      </c>
      <c r="J102" s="185">
        <f t="shared" si="2"/>
        <v>2625.3552380952387</v>
      </c>
      <c r="K102" s="183" t="s">
        <v>79</v>
      </c>
      <c r="L102" s="188" t="s">
        <v>81</v>
      </c>
    </row>
    <row r="103" spans="1:12">
      <c r="A103" s="177">
        <v>124492013</v>
      </c>
      <c r="B103" s="179" t="s">
        <v>432</v>
      </c>
      <c r="C103" s="179">
        <v>41357</v>
      </c>
      <c r="D103" s="181">
        <v>297902014</v>
      </c>
      <c r="E103" s="183" t="s">
        <v>498</v>
      </c>
      <c r="F103" s="443">
        <v>50819.86</v>
      </c>
      <c r="G103" s="185">
        <f t="shared" si="0"/>
        <v>2419.9933333333333</v>
      </c>
      <c r="H103" s="186">
        <v>0.05</v>
      </c>
      <c r="I103" s="185">
        <f t="shared" si="1"/>
        <v>2419.993333333332</v>
      </c>
      <c r="J103" s="185">
        <f t="shared" si="2"/>
        <v>2419.993333333332</v>
      </c>
      <c r="K103" s="183" t="s">
        <v>79</v>
      </c>
      <c r="L103" s="188" t="s">
        <v>81</v>
      </c>
    </row>
    <row r="104" spans="1:12">
      <c r="A104" s="190">
        <v>124492013</v>
      </c>
      <c r="B104" s="204" t="s">
        <v>432</v>
      </c>
      <c r="C104" s="204">
        <v>41357</v>
      </c>
      <c r="D104" s="206">
        <v>297882014</v>
      </c>
      <c r="E104" s="208" t="s">
        <v>499</v>
      </c>
      <c r="F104" s="448">
        <v>144799.12</v>
      </c>
      <c r="G104" s="287">
        <f t="shared" si="0"/>
        <v>6895.1961904761911</v>
      </c>
      <c r="H104" s="213">
        <v>0.05</v>
      </c>
      <c r="I104" s="287">
        <f t="shared" si="1"/>
        <v>6895.1961904761847</v>
      </c>
      <c r="J104" s="287">
        <f t="shared" si="2"/>
        <v>6895.1961904761847</v>
      </c>
      <c r="K104" s="284" t="s">
        <v>148</v>
      </c>
      <c r="L104" s="215" t="s">
        <v>81</v>
      </c>
    </row>
    <row r="105" spans="1:12">
      <c r="A105" s="449">
        <v>520632013</v>
      </c>
      <c r="B105" s="149" t="s">
        <v>432</v>
      </c>
      <c r="C105" s="149">
        <v>41576</v>
      </c>
      <c r="D105" s="151">
        <v>297962014</v>
      </c>
      <c r="E105" s="153" t="s">
        <v>503</v>
      </c>
      <c r="F105" s="450"/>
      <c r="G105" s="156">
        <f t="shared" si="0"/>
        <v>0</v>
      </c>
      <c r="H105" s="158">
        <v>0.05</v>
      </c>
      <c r="I105" s="156">
        <f t="shared" si="1"/>
        <v>0</v>
      </c>
      <c r="J105" s="156">
        <f t="shared" si="2"/>
        <v>0</v>
      </c>
      <c r="K105" s="153" t="s">
        <v>79</v>
      </c>
      <c r="L105" s="169" t="s">
        <v>81</v>
      </c>
    </row>
    <row r="106" spans="1:12">
      <c r="A106" s="451">
        <v>520632013</v>
      </c>
      <c r="B106" s="179" t="s">
        <v>432</v>
      </c>
      <c r="C106" s="179">
        <v>41576</v>
      </c>
      <c r="D106" s="181">
        <v>297992014</v>
      </c>
      <c r="E106" s="183" t="s">
        <v>506</v>
      </c>
      <c r="F106" s="447"/>
      <c r="G106" s="185">
        <f t="shared" si="0"/>
        <v>0</v>
      </c>
      <c r="H106" s="186">
        <v>0.05</v>
      </c>
      <c r="I106" s="185">
        <f t="shared" si="1"/>
        <v>0</v>
      </c>
      <c r="J106" s="185">
        <f t="shared" si="2"/>
        <v>0</v>
      </c>
      <c r="K106" s="183" t="s">
        <v>79</v>
      </c>
      <c r="L106" s="188" t="s">
        <v>81</v>
      </c>
    </row>
    <row r="107" spans="1:12">
      <c r="A107" s="451">
        <v>520632013</v>
      </c>
      <c r="B107" s="179" t="s">
        <v>432</v>
      </c>
      <c r="C107" s="179">
        <v>41576</v>
      </c>
      <c r="D107" s="181">
        <v>298032014</v>
      </c>
      <c r="E107" s="183" t="s">
        <v>510</v>
      </c>
      <c r="F107" s="447"/>
      <c r="G107" s="185">
        <f t="shared" si="0"/>
        <v>0</v>
      </c>
      <c r="H107" s="186">
        <v>0.05</v>
      </c>
      <c r="I107" s="185">
        <f t="shared" si="1"/>
        <v>0</v>
      </c>
      <c r="J107" s="185">
        <f t="shared" si="2"/>
        <v>0</v>
      </c>
      <c r="K107" s="183" t="s">
        <v>79</v>
      </c>
      <c r="L107" s="188" t="s">
        <v>81</v>
      </c>
    </row>
    <row r="108" spans="1:12">
      <c r="A108" s="451">
        <v>520632013</v>
      </c>
      <c r="B108" s="179" t="s">
        <v>432</v>
      </c>
      <c r="C108" s="179">
        <v>41576</v>
      </c>
      <c r="D108" s="181">
        <v>297272014</v>
      </c>
      <c r="E108" s="183" t="s">
        <v>512</v>
      </c>
      <c r="F108" s="447"/>
      <c r="G108" s="381">
        <f t="shared" si="0"/>
        <v>0</v>
      </c>
      <c r="H108" s="186">
        <v>0.05</v>
      </c>
      <c r="I108" s="381">
        <f t="shared" si="1"/>
        <v>0</v>
      </c>
      <c r="J108" s="381">
        <f t="shared" si="2"/>
        <v>0</v>
      </c>
      <c r="K108" s="272" t="s">
        <v>148</v>
      </c>
      <c r="L108" s="188" t="s">
        <v>81</v>
      </c>
    </row>
    <row r="109" spans="1:12">
      <c r="A109" s="451">
        <v>520632013</v>
      </c>
      <c r="B109" s="179" t="s">
        <v>432</v>
      </c>
      <c r="C109" s="179">
        <v>41576</v>
      </c>
      <c r="D109" s="181">
        <v>297242014</v>
      </c>
      <c r="E109" s="183" t="s">
        <v>514</v>
      </c>
      <c r="F109" s="447"/>
      <c r="G109" s="185">
        <f t="shared" si="0"/>
        <v>0</v>
      </c>
      <c r="H109" s="186">
        <v>0.05</v>
      </c>
      <c r="I109" s="185">
        <f t="shared" si="1"/>
        <v>0</v>
      </c>
      <c r="J109" s="185">
        <f t="shared" si="2"/>
        <v>0</v>
      </c>
      <c r="K109" s="183" t="s">
        <v>79</v>
      </c>
      <c r="L109" s="188" t="s">
        <v>81</v>
      </c>
    </row>
    <row r="110" spans="1:12">
      <c r="A110" s="451">
        <v>520632013</v>
      </c>
      <c r="B110" s="179" t="s">
        <v>432</v>
      </c>
      <c r="C110" s="179">
        <v>41576</v>
      </c>
      <c r="D110" s="181">
        <v>297202014</v>
      </c>
      <c r="E110" s="183" t="s">
        <v>516</v>
      </c>
      <c r="F110" s="447"/>
      <c r="G110" s="185">
        <f t="shared" si="0"/>
        <v>0</v>
      </c>
      <c r="H110" s="186">
        <v>0.05</v>
      </c>
      <c r="I110" s="185">
        <f t="shared" si="1"/>
        <v>0</v>
      </c>
      <c r="J110" s="185">
        <f t="shared" si="2"/>
        <v>0</v>
      </c>
      <c r="K110" s="183" t="s">
        <v>79</v>
      </c>
      <c r="L110" s="188" t="s">
        <v>81</v>
      </c>
    </row>
    <row r="111" spans="1:12">
      <c r="A111" s="451">
        <v>520632013</v>
      </c>
      <c r="B111" s="179" t="s">
        <v>432</v>
      </c>
      <c r="C111" s="179">
        <v>41576</v>
      </c>
      <c r="D111" s="181">
        <v>297322014</v>
      </c>
      <c r="E111" s="183" t="s">
        <v>518</v>
      </c>
      <c r="F111" s="447"/>
      <c r="G111" s="185">
        <f t="shared" si="0"/>
        <v>0</v>
      </c>
      <c r="H111" s="186">
        <v>0.05</v>
      </c>
      <c r="I111" s="185">
        <f t="shared" si="1"/>
        <v>0</v>
      </c>
      <c r="J111" s="185">
        <f t="shared" si="2"/>
        <v>0</v>
      </c>
      <c r="K111" s="183" t="s">
        <v>79</v>
      </c>
      <c r="L111" s="188" t="s">
        <v>81</v>
      </c>
    </row>
    <row r="112" spans="1:12">
      <c r="A112" s="451">
        <v>520632013</v>
      </c>
      <c r="B112" s="179" t="s">
        <v>432</v>
      </c>
      <c r="C112" s="179">
        <v>41576</v>
      </c>
      <c r="D112" s="181">
        <v>298002014</v>
      </c>
      <c r="E112" s="183" t="s">
        <v>521</v>
      </c>
      <c r="F112" s="447"/>
      <c r="G112" s="185">
        <f t="shared" si="0"/>
        <v>0</v>
      </c>
      <c r="H112" s="186">
        <v>0.05</v>
      </c>
      <c r="I112" s="185">
        <f t="shared" si="1"/>
        <v>0</v>
      </c>
      <c r="J112" s="185">
        <f t="shared" si="2"/>
        <v>0</v>
      </c>
      <c r="K112" s="183" t="s">
        <v>79</v>
      </c>
      <c r="L112" s="188" t="s">
        <v>81</v>
      </c>
    </row>
    <row r="113" spans="1:12">
      <c r="A113" s="451">
        <v>520632013</v>
      </c>
      <c r="B113" s="179" t="s">
        <v>432</v>
      </c>
      <c r="C113" s="179">
        <v>41576</v>
      </c>
      <c r="D113" s="181">
        <v>297312014</v>
      </c>
      <c r="E113" s="183" t="s">
        <v>523</v>
      </c>
      <c r="F113" s="447"/>
      <c r="G113" s="381">
        <f t="shared" si="0"/>
        <v>0</v>
      </c>
      <c r="H113" s="186">
        <v>0.05</v>
      </c>
      <c r="I113" s="381">
        <f t="shared" si="1"/>
        <v>0</v>
      </c>
      <c r="J113" s="381">
        <f t="shared" si="2"/>
        <v>0</v>
      </c>
      <c r="K113" s="272" t="s">
        <v>148</v>
      </c>
      <c r="L113" s="188" t="s">
        <v>81</v>
      </c>
    </row>
    <row r="114" spans="1:12">
      <c r="A114" s="451">
        <v>520632013</v>
      </c>
      <c r="B114" s="179" t="s">
        <v>432</v>
      </c>
      <c r="C114" s="179">
        <v>41576</v>
      </c>
      <c r="D114" s="181">
        <v>297192014</v>
      </c>
      <c r="E114" s="183" t="s">
        <v>526</v>
      </c>
      <c r="F114" s="447"/>
      <c r="G114" s="185">
        <f t="shared" si="0"/>
        <v>0</v>
      </c>
      <c r="H114" s="186">
        <v>0.05</v>
      </c>
      <c r="I114" s="185">
        <f t="shared" si="1"/>
        <v>0</v>
      </c>
      <c r="J114" s="185">
        <f t="shared" si="2"/>
        <v>0</v>
      </c>
      <c r="K114" s="183" t="s">
        <v>79</v>
      </c>
      <c r="L114" s="188" t="s">
        <v>81</v>
      </c>
    </row>
    <row r="115" spans="1:12">
      <c r="A115" s="451">
        <v>520632013</v>
      </c>
      <c r="B115" s="179" t="s">
        <v>432</v>
      </c>
      <c r="C115" s="179">
        <v>41576</v>
      </c>
      <c r="D115" s="181">
        <v>298052014</v>
      </c>
      <c r="E115" s="183" t="s">
        <v>528</v>
      </c>
      <c r="F115" s="447"/>
      <c r="G115" s="185">
        <f t="shared" si="0"/>
        <v>0</v>
      </c>
      <c r="H115" s="186">
        <v>0.05</v>
      </c>
      <c r="I115" s="185">
        <f t="shared" si="1"/>
        <v>0</v>
      </c>
      <c r="J115" s="185">
        <f t="shared" si="2"/>
        <v>0</v>
      </c>
      <c r="K115" s="183" t="s">
        <v>79</v>
      </c>
      <c r="L115" s="188" t="s">
        <v>81</v>
      </c>
    </row>
    <row r="116" spans="1:12">
      <c r="A116" s="451">
        <v>520632013</v>
      </c>
      <c r="B116" s="179" t="s">
        <v>432</v>
      </c>
      <c r="C116" s="179">
        <v>41576</v>
      </c>
      <c r="D116" s="181">
        <v>297132014</v>
      </c>
      <c r="E116" s="183" t="s">
        <v>531</v>
      </c>
      <c r="F116" s="447"/>
      <c r="G116" s="185">
        <f t="shared" si="0"/>
        <v>0</v>
      </c>
      <c r="H116" s="186">
        <v>0.05</v>
      </c>
      <c r="I116" s="185">
        <f t="shared" si="1"/>
        <v>0</v>
      </c>
      <c r="J116" s="185">
        <f t="shared" si="2"/>
        <v>0</v>
      </c>
      <c r="K116" s="183" t="s">
        <v>79</v>
      </c>
      <c r="L116" s="188" t="s">
        <v>81</v>
      </c>
    </row>
    <row r="117" spans="1:12">
      <c r="A117" s="451">
        <v>520632013</v>
      </c>
      <c r="B117" s="179" t="s">
        <v>432</v>
      </c>
      <c r="C117" s="179">
        <v>41576</v>
      </c>
      <c r="D117" s="181">
        <v>298042014</v>
      </c>
      <c r="E117" s="183" t="s">
        <v>534</v>
      </c>
      <c r="F117" s="447"/>
      <c r="G117" s="381">
        <f t="shared" si="0"/>
        <v>0</v>
      </c>
      <c r="H117" s="186">
        <v>0.05</v>
      </c>
      <c r="I117" s="381">
        <f t="shared" si="1"/>
        <v>0</v>
      </c>
      <c r="J117" s="381">
        <f t="shared" si="2"/>
        <v>0</v>
      </c>
      <c r="K117" s="272" t="s">
        <v>148</v>
      </c>
      <c r="L117" s="188" t="s">
        <v>81</v>
      </c>
    </row>
    <row r="118" spans="1:12">
      <c r="A118" s="451">
        <v>520632013</v>
      </c>
      <c r="B118" s="179" t="s">
        <v>432</v>
      </c>
      <c r="C118" s="179">
        <v>41576</v>
      </c>
      <c r="D118" s="181">
        <v>297152014</v>
      </c>
      <c r="E118" s="183" t="s">
        <v>537</v>
      </c>
      <c r="F118" s="447"/>
      <c r="G118" s="381">
        <f t="shared" si="0"/>
        <v>0</v>
      </c>
      <c r="H118" s="186">
        <v>0.05</v>
      </c>
      <c r="I118" s="381">
        <f t="shared" si="1"/>
        <v>0</v>
      </c>
      <c r="J118" s="381">
        <f t="shared" si="2"/>
        <v>0</v>
      </c>
      <c r="K118" s="272" t="s">
        <v>148</v>
      </c>
      <c r="L118" s="188" t="s">
        <v>81</v>
      </c>
    </row>
    <row r="119" spans="1:12">
      <c r="A119" s="453">
        <v>520632013</v>
      </c>
      <c r="B119" s="204" t="s">
        <v>432</v>
      </c>
      <c r="C119" s="204">
        <v>41576</v>
      </c>
      <c r="D119" s="206">
        <v>298022014</v>
      </c>
      <c r="E119" s="208" t="s">
        <v>541</v>
      </c>
      <c r="F119" s="454"/>
      <c r="G119" s="212">
        <f t="shared" si="0"/>
        <v>0</v>
      </c>
      <c r="H119" s="213">
        <v>0.05</v>
      </c>
      <c r="I119" s="212">
        <f t="shared" si="1"/>
        <v>0</v>
      </c>
      <c r="J119" s="212">
        <f t="shared" si="2"/>
        <v>0</v>
      </c>
      <c r="K119" s="208" t="s">
        <v>79</v>
      </c>
      <c r="L119" s="215" t="s">
        <v>81</v>
      </c>
    </row>
    <row r="120" spans="1:12">
      <c r="A120" s="455">
        <v>6432009</v>
      </c>
      <c r="B120" s="456"/>
      <c r="C120" s="456">
        <v>39825</v>
      </c>
      <c r="D120" s="423">
        <v>253832014</v>
      </c>
      <c r="E120" s="425" t="s">
        <v>545</v>
      </c>
      <c r="F120" s="457">
        <v>51588.41</v>
      </c>
      <c r="G120" s="430">
        <f t="shared" si="0"/>
        <v>5158.8410000000003</v>
      </c>
      <c r="H120" s="459"/>
      <c r="I120" s="430">
        <f t="shared" si="1"/>
        <v>0</v>
      </c>
      <c r="J120" s="430">
        <f t="shared" si="2"/>
        <v>0</v>
      </c>
      <c r="K120" s="425" t="s">
        <v>548</v>
      </c>
      <c r="L120" s="235" t="s">
        <v>81</v>
      </c>
    </row>
    <row r="121" spans="1:12">
      <c r="A121" s="147">
        <v>184582003</v>
      </c>
      <c r="B121" s="149"/>
      <c r="C121" s="149">
        <v>37922</v>
      </c>
      <c r="D121" s="151">
        <v>300552014</v>
      </c>
      <c r="E121" s="11" t="s">
        <v>549</v>
      </c>
      <c r="F121" s="450"/>
      <c r="G121" s="156">
        <f t="shared" si="0"/>
        <v>0</v>
      </c>
      <c r="H121" s="379"/>
      <c r="I121" s="156">
        <f t="shared" si="1"/>
        <v>0</v>
      </c>
      <c r="J121" s="156">
        <f t="shared" si="2"/>
        <v>0</v>
      </c>
      <c r="K121" s="153" t="s">
        <v>79</v>
      </c>
      <c r="L121" s="169" t="s">
        <v>81</v>
      </c>
    </row>
    <row r="122" spans="1:12">
      <c r="A122" s="177">
        <v>184582003</v>
      </c>
      <c r="B122" s="179"/>
      <c r="C122" s="179">
        <v>37922</v>
      </c>
      <c r="D122" s="181">
        <v>300702014</v>
      </c>
      <c r="E122" s="31" t="s">
        <v>551</v>
      </c>
      <c r="F122" s="443">
        <v>50334.73</v>
      </c>
      <c r="G122" s="185">
        <f t="shared" si="0"/>
        <v>5033.4730000000009</v>
      </c>
      <c r="H122" s="259"/>
      <c r="I122" s="185">
        <f t="shared" si="1"/>
        <v>0</v>
      </c>
      <c r="J122" s="185">
        <f t="shared" si="2"/>
        <v>0</v>
      </c>
      <c r="K122" s="183" t="s">
        <v>79</v>
      </c>
      <c r="L122" s="188" t="s">
        <v>81</v>
      </c>
    </row>
    <row r="123" spans="1:12">
      <c r="A123" s="177">
        <v>184582003</v>
      </c>
      <c r="B123" s="179"/>
      <c r="C123" s="179">
        <v>37922</v>
      </c>
      <c r="D123" s="181">
        <v>300712014</v>
      </c>
      <c r="E123" s="31" t="s">
        <v>553</v>
      </c>
      <c r="F123" s="447"/>
      <c r="G123" s="185">
        <f t="shared" si="0"/>
        <v>0</v>
      </c>
      <c r="H123" s="259"/>
      <c r="I123" s="185">
        <f t="shared" si="1"/>
        <v>0</v>
      </c>
      <c r="J123" s="185">
        <f t="shared" si="2"/>
        <v>0</v>
      </c>
      <c r="K123" s="183" t="s">
        <v>79</v>
      </c>
      <c r="L123" s="188" t="s">
        <v>81</v>
      </c>
    </row>
    <row r="124" spans="1:12">
      <c r="A124" s="190">
        <v>184582003</v>
      </c>
      <c r="B124" s="204"/>
      <c r="C124" s="204">
        <v>37922</v>
      </c>
      <c r="D124" s="206">
        <v>300722014</v>
      </c>
      <c r="E124" s="58" t="s">
        <v>555</v>
      </c>
      <c r="F124" s="454"/>
      <c r="G124" s="287">
        <f t="shared" si="0"/>
        <v>0</v>
      </c>
      <c r="H124" s="213"/>
      <c r="I124" s="287">
        <f t="shared" si="1"/>
        <v>0</v>
      </c>
      <c r="J124" s="287">
        <f t="shared" si="2"/>
        <v>0</v>
      </c>
      <c r="K124" s="284" t="s">
        <v>148</v>
      </c>
      <c r="L124" s="215" t="s">
        <v>81</v>
      </c>
    </row>
    <row r="125" spans="1:12">
      <c r="A125" s="147">
        <v>42742003</v>
      </c>
      <c r="B125" s="461"/>
      <c r="C125" s="461">
        <v>37691</v>
      </c>
      <c r="D125" s="151">
        <v>300752014</v>
      </c>
      <c r="E125" s="11" t="s">
        <v>559</v>
      </c>
      <c r="F125" s="450"/>
      <c r="G125" s="254">
        <f t="shared" si="0"/>
        <v>0</v>
      </c>
      <c r="H125" s="158"/>
      <c r="I125" s="254">
        <f t="shared" si="1"/>
        <v>0</v>
      </c>
      <c r="J125" s="254">
        <f t="shared" si="2"/>
        <v>0</v>
      </c>
      <c r="K125" s="255" t="s">
        <v>148</v>
      </c>
      <c r="L125" s="169" t="s">
        <v>81</v>
      </c>
    </row>
    <row r="126" spans="1:12">
      <c r="A126" s="177">
        <v>42742003</v>
      </c>
      <c r="B126" s="462"/>
      <c r="C126" s="462">
        <v>37691</v>
      </c>
      <c r="D126" s="181">
        <v>300762014</v>
      </c>
      <c r="E126" s="31" t="s">
        <v>562</v>
      </c>
      <c r="F126" s="447"/>
      <c r="G126" s="381">
        <f t="shared" si="0"/>
        <v>0</v>
      </c>
      <c r="H126" s="186"/>
      <c r="I126" s="381">
        <f t="shared" si="1"/>
        <v>0</v>
      </c>
      <c r="J126" s="381">
        <f t="shared" si="2"/>
        <v>0</v>
      </c>
      <c r="K126" s="272" t="s">
        <v>564</v>
      </c>
      <c r="L126" s="188" t="s">
        <v>81</v>
      </c>
    </row>
    <row r="127" spans="1:12">
      <c r="A127" s="177">
        <v>42742003</v>
      </c>
      <c r="B127" s="462"/>
      <c r="C127" s="462">
        <v>37691</v>
      </c>
      <c r="D127" s="181">
        <v>300742014</v>
      </c>
      <c r="E127" s="31" t="s">
        <v>565</v>
      </c>
      <c r="F127" s="447"/>
      <c r="G127" s="185">
        <f t="shared" si="0"/>
        <v>0</v>
      </c>
      <c r="H127" s="259"/>
      <c r="I127" s="185">
        <f t="shared" si="1"/>
        <v>0</v>
      </c>
      <c r="J127" s="185">
        <f t="shared" si="2"/>
        <v>0</v>
      </c>
      <c r="K127" s="183" t="s">
        <v>79</v>
      </c>
      <c r="L127" s="188" t="s">
        <v>81</v>
      </c>
    </row>
    <row r="128" spans="1:12">
      <c r="A128" s="177">
        <v>42742003</v>
      </c>
      <c r="B128" s="462"/>
      <c r="C128" s="462">
        <v>37691</v>
      </c>
      <c r="D128" s="181">
        <v>300532014</v>
      </c>
      <c r="E128" s="31" t="s">
        <v>568</v>
      </c>
      <c r="F128" s="447"/>
      <c r="G128" s="381">
        <f t="shared" si="0"/>
        <v>0</v>
      </c>
      <c r="H128" s="186"/>
      <c r="I128" s="381">
        <f t="shared" si="1"/>
        <v>0</v>
      </c>
      <c r="J128" s="381">
        <f t="shared" si="2"/>
        <v>0</v>
      </c>
      <c r="K128" s="272" t="s">
        <v>166</v>
      </c>
      <c r="L128" s="188" t="s">
        <v>81</v>
      </c>
    </row>
    <row r="129" spans="1:12">
      <c r="A129" s="190">
        <v>42742003</v>
      </c>
      <c r="B129" s="463"/>
      <c r="C129" s="463">
        <v>37691</v>
      </c>
      <c r="D129" s="206">
        <v>300732014</v>
      </c>
      <c r="E129" s="48" t="s">
        <v>572</v>
      </c>
      <c r="F129" s="454"/>
      <c r="G129" s="287">
        <f t="shared" si="0"/>
        <v>0</v>
      </c>
      <c r="H129" s="213"/>
      <c r="I129" s="287">
        <f t="shared" si="1"/>
        <v>0</v>
      </c>
      <c r="J129" s="287">
        <f t="shared" si="2"/>
        <v>0</v>
      </c>
      <c r="K129" s="284" t="s">
        <v>148</v>
      </c>
      <c r="L129" s="215" t="s">
        <v>81</v>
      </c>
    </row>
    <row r="130" spans="1:12">
      <c r="A130" s="464">
        <v>117992002</v>
      </c>
      <c r="B130" s="465"/>
      <c r="C130" s="465">
        <v>37447</v>
      </c>
      <c r="D130" s="222">
        <v>74052014</v>
      </c>
      <c r="E130" s="96" t="s">
        <v>576</v>
      </c>
      <c r="F130" s="466">
        <v>42864.27</v>
      </c>
      <c r="G130" s="253">
        <f t="shared" si="0"/>
        <v>4286.4269999999997</v>
      </c>
      <c r="H130" s="229"/>
      <c r="I130" s="253">
        <f t="shared" si="1"/>
        <v>0</v>
      </c>
      <c r="J130" s="253">
        <f t="shared" si="2"/>
        <v>0</v>
      </c>
      <c r="K130" s="233" t="s">
        <v>166</v>
      </c>
      <c r="L130" s="235" t="s">
        <v>81</v>
      </c>
    </row>
    <row r="131" spans="1:12">
      <c r="A131" s="464">
        <v>138662002</v>
      </c>
      <c r="B131" s="465"/>
      <c r="C131" s="465">
        <v>37484</v>
      </c>
      <c r="D131" s="467">
        <v>193422014</v>
      </c>
      <c r="E131" s="105" t="s">
        <v>580</v>
      </c>
      <c r="F131" s="468">
        <v>92741.48</v>
      </c>
      <c r="G131" s="253">
        <f t="shared" si="0"/>
        <v>9274.1479999999992</v>
      </c>
      <c r="H131" s="229"/>
      <c r="I131" s="253">
        <f t="shared" si="1"/>
        <v>0</v>
      </c>
      <c r="J131" s="253">
        <f t="shared" si="2"/>
        <v>0</v>
      </c>
      <c r="K131" s="233" t="s">
        <v>201</v>
      </c>
      <c r="L131" s="235" t="s">
        <v>81</v>
      </c>
    </row>
    <row r="132" spans="1:12">
      <c r="A132" s="469"/>
      <c r="B132" s="470"/>
      <c r="C132" s="470"/>
      <c r="D132" s="469"/>
      <c r="E132" s="230"/>
      <c r="F132" s="471"/>
      <c r="G132" s="472">
        <f t="shared" si="0"/>
        <v>0</v>
      </c>
      <c r="H132" s="473"/>
      <c r="I132" s="472">
        <f t="shared" si="1"/>
        <v>0</v>
      </c>
      <c r="J132" s="472">
        <f t="shared" si="2"/>
        <v>0</v>
      </c>
      <c r="K132" s="475"/>
      <c r="L132" s="469"/>
    </row>
    <row r="133" spans="1:12">
      <c r="A133" s="181"/>
      <c r="B133" s="477"/>
      <c r="C133" s="477"/>
      <c r="D133" s="181"/>
      <c r="E133" s="31"/>
      <c r="F133" s="471"/>
      <c r="G133" s="472">
        <f t="shared" si="0"/>
        <v>0</v>
      </c>
      <c r="H133" s="473"/>
      <c r="I133" s="472">
        <f t="shared" si="1"/>
        <v>0</v>
      </c>
      <c r="J133" s="472">
        <f t="shared" si="2"/>
        <v>0</v>
      </c>
      <c r="K133" s="183"/>
      <c r="L133" s="181"/>
    </row>
    <row r="134" spans="1:12">
      <c r="A134" s="181"/>
      <c r="B134" s="477"/>
      <c r="C134" s="477"/>
      <c r="D134" s="181"/>
      <c r="E134" s="31"/>
      <c r="F134" s="471"/>
      <c r="G134" s="472">
        <f t="shared" si="0"/>
        <v>0</v>
      </c>
      <c r="H134" s="473"/>
      <c r="I134" s="472">
        <f t="shared" si="1"/>
        <v>0</v>
      </c>
      <c r="J134" s="472">
        <f t="shared" si="2"/>
        <v>0</v>
      </c>
      <c r="K134" s="183"/>
      <c r="L134" s="181"/>
    </row>
    <row r="135" spans="1:12">
      <c r="A135" s="181"/>
      <c r="B135" s="477"/>
      <c r="C135" s="477"/>
      <c r="D135" s="181"/>
      <c r="E135" s="31"/>
      <c r="F135" s="471"/>
      <c r="G135" s="472">
        <f t="shared" si="0"/>
        <v>0</v>
      </c>
      <c r="H135" s="473"/>
      <c r="I135" s="472">
        <f t="shared" si="1"/>
        <v>0</v>
      </c>
      <c r="J135" s="472">
        <f t="shared" si="2"/>
        <v>0</v>
      </c>
      <c r="K135" s="183"/>
      <c r="L135" s="181"/>
    </row>
    <row r="136" spans="1:12">
      <c r="A136" s="181"/>
      <c r="B136" s="477"/>
      <c r="C136" s="477"/>
      <c r="D136" s="181"/>
      <c r="E136" s="31"/>
      <c r="F136" s="471"/>
      <c r="G136" s="472">
        <f t="shared" si="0"/>
        <v>0</v>
      </c>
      <c r="H136" s="473"/>
      <c r="I136" s="472">
        <f t="shared" si="1"/>
        <v>0</v>
      </c>
      <c r="J136" s="472">
        <f t="shared" si="2"/>
        <v>0</v>
      </c>
      <c r="K136" s="183"/>
      <c r="L136" s="181"/>
    </row>
    <row r="137" spans="1:12">
      <c r="A137" s="181"/>
      <c r="B137" s="477"/>
      <c r="C137" s="477"/>
      <c r="D137" s="181"/>
      <c r="E137" s="31"/>
      <c r="F137" s="471"/>
      <c r="G137" s="472">
        <f t="shared" si="0"/>
        <v>0</v>
      </c>
      <c r="H137" s="473"/>
      <c r="I137" s="472">
        <f t="shared" si="1"/>
        <v>0</v>
      </c>
      <c r="J137" s="472">
        <f t="shared" si="2"/>
        <v>0</v>
      </c>
      <c r="K137" s="183"/>
      <c r="L137" s="181"/>
    </row>
    <row r="138" spans="1:12">
      <c r="A138" s="181"/>
      <c r="B138" s="477"/>
      <c r="C138" s="477"/>
      <c r="D138" s="181"/>
      <c r="E138" s="31"/>
      <c r="F138" s="471"/>
      <c r="G138" s="472">
        <f t="shared" si="0"/>
        <v>0</v>
      </c>
      <c r="H138" s="473"/>
      <c r="I138" s="472">
        <f t="shared" si="1"/>
        <v>0</v>
      </c>
      <c r="J138" s="472">
        <f t="shared" si="2"/>
        <v>0</v>
      </c>
      <c r="K138" s="183"/>
      <c r="L138" s="181"/>
    </row>
    <row r="139" spans="1:12">
      <c r="A139" s="181"/>
      <c r="B139" s="477"/>
      <c r="C139" s="477"/>
      <c r="D139" s="181"/>
      <c r="E139" s="31"/>
      <c r="F139" s="471"/>
      <c r="G139" s="472">
        <f t="shared" si="0"/>
        <v>0</v>
      </c>
      <c r="H139" s="473"/>
      <c r="I139" s="472">
        <f t="shared" si="1"/>
        <v>0</v>
      </c>
      <c r="J139" s="472">
        <f t="shared" si="2"/>
        <v>0</v>
      </c>
      <c r="K139" s="183"/>
      <c r="L139" s="181"/>
    </row>
    <row r="140" spans="1:12">
      <c r="A140" s="181"/>
      <c r="B140" s="477"/>
      <c r="C140" s="477"/>
      <c r="D140" s="181"/>
      <c r="E140" s="31"/>
      <c r="F140" s="471"/>
      <c r="G140" s="472">
        <f t="shared" si="0"/>
        <v>0</v>
      </c>
      <c r="H140" s="473"/>
      <c r="I140" s="472">
        <f t="shared" si="1"/>
        <v>0</v>
      </c>
      <c r="J140" s="472">
        <f t="shared" si="2"/>
        <v>0</v>
      </c>
      <c r="K140" s="183"/>
      <c r="L140" s="181"/>
    </row>
    <row r="141" spans="1:12">
      <c r="A141" s="181"/>
      <c r="B141" s="477"/>
      <c r="C141" s="477"/>
      <c r="D141" s="181"/>
      <c r="E141" s="31"/>
      <c r="F141" s="471"/>
      <c r="G141" s="472">
        <f t="shared" si="0"/>
        <v>0</v>
      </c>
      <c r="H141" s="473"/>
      <c r="I141" s="472">
        <f t="shared" si="1"/>
        <v>0</v>
      </c>
      <c r="J141" s="472">
        <f t="shared" si="2"/>
        <v>0</v>
      </c>
      <c r="K141" s="183"/>
      <c r="L141" s="181"/>
    </row>
    <row r="142" spans="1:12">
      <c r="A142" s="181"/>
      <c r="B142" s="477"/>
      <c r="C142" s="477"/>
      <c r="D142" s="181"/>
      <c r="E142" s="31"/>
      <c r="F142" s="471"/>
      <c r="G142" s="472">
        <f t="shared" si="0"/>
        <v>0</v>
      </c>
      <c r="H142" s="473"/>
      <c r="I142" s="472">
        <f t="shared" si="1"/>
        <v>0</v>
      </c>
      <c r="J142" s="472">
        <f t="shared" si="2"/>
        <v>0</v>
      </c>
      <c r="K142" s="183"/>
      <c r="L142" s="181"/>
    </row>
    <row r="143" spans="1:12">
      <c r="A143" s="181"/>
      <c r="B143" s="477"/>
      <c r="C143" s="477"/>
      <c r="D143" s="181"/>
      <c r="E143" s="31"/>
      <c r="F143" s="471"/>
      <c r="G143" s="472">
        <f t="shared" si="0"/>
        <v>0</v>
      </c>
      <c r="H143" s="473"/>
      <c r="I143" s="472">
        <f t="shared" si="1"/>
        <v>0</v>
      </c>
      <c r="J143" s="472">
        <f t="shared" si="2"/>
        <v>0</v>
      </c>
      <c r="K143" s="183"/>
      <c r="L143" s="181"/>
    </row>
    <row r="144" spans="1:12">
      <c r="A144" s="181"/>
      <c r="B144" s="477"/>
      <c r="C144" s="477"/>
      <c r="D144" s="181"/>
      <c r="E144" s="31"/>
      <c r="F144" s="471"/>
      <c r="G144" s="472">
        <f t="shared" si="0"/>
        <v>0</v>
      </c>
      <c r="H144" s="473"/>
      <c r="I144" s="472">
        <f t="shared" si="1"/>
        <v>0</v>
      </c>
      <c r="J144" s="472">
        <f t="shared" si="2"/>
        <v>0</v>
      </c>
      <c r="K144" s="183"/>
      <c r="L144" s="181"/>
    </row>
    <row r="145" spans="1:12">
      <c r="A145" s="479"/>
      <c r="B145" s="477"/>
      <c r="C145" s="477"/>
      <c r="D145" s="181"/>
      <c r="E145" s="183"/>
      <c r="F145" s="471"/>
      <c r="G145" s="472">
        <f t="shared" si="0"/>
        <v>0</v>
      </c>
      <c r="H145" s="473"/>
      <c r="I145" s="472">
        <f t="shared" si="1"/>
        <v>0</v>
      </c>
      <c r="J145" s="472">
        <f t="shared" si="2"/>
        <v>0</v>
      </c>
      <c r="K145" s="183"/>
      <c r="L145" s="181"/>
    </row>
    <row r="146" spans="1:12">
      <c r="A146" s="479"/>
      <c r="B146" s="477"/>
      <c r="C146" s="477"/>
      <c r="D146" s="181"/>
      <c r="E146" s="183"/>
      <c r="F146" s="471"/>
      <c r="G146" s="472">
        <f t="shared" si="0"/>
        <v>0</v>
      </c>
      <c r="H146" s="473"/>
      <c r="I146" s="472">
        <f t="shared" si="1"/>
        <v>0</v>
      </c>
      <c r="J146" s="472">
        <f t="shared" si="2"/>
        <v>0</v>
      </c>
      <c r="K146" s="183"/>
      <c r="L146" s="181"/>
    </row>
    <row r="147" spans="1:12">
      <c r="A147" s="181"/>
      <c r="B147" s="477"/>
      <c r="C147" s="477"/>
      <c r="D147" s="181"/>
      <c r="E147" s="183"/>
      <c r="F147" s="184"/>
      <c r="G147" s="185">
        <f t="shared" si="0"/>
        <v>0</v>
      </c>
      <c r="H147" s="259"/>
      <c r="I147" s="185">
        <f t="shared" si="1"/>
        <v>0</v>
      </c>
      <c r="J147" s="185">
        <f t="shared" si="2"/>
        <v>0</v>
      </c>
      <c r="K147" s="183"/>
      <c r="L147" s="181"/>
    </row>
    <row r="148" spans="1:12">
      <c r="A148" s="651" t="s">
        <v>176</v>
      </c>
      <c r="B148" s="652"/>
      <c r="C148" s="652"/>
      <c r="D148" s="652"/>
      <c r="E148" s="653"/>
      <c r="F148" s="480">
        <f t="shared" ref="F148:G148" si="3">SUM(F3:F147)</f>
        <v>6057934.9435601961</v>
      </c>
      <c r="G148" s="480">
        <f t="shared" si="3"/>
        <v>510005.39045775135</v>
      </c>
      <c r="H148" s="482"/>
      <c r="I148" s="480">
        <f t="shared" ref="I148:J148" si="4">SUM(I3:I147)</f>
        <v>140117.68183982692</v>
      </c>
      <c r="J148" s="480">
        <f t="shared" si="4"/>
        <v>123614.00348489186</v>
      </c>
      <c r="K148" s="483"/>
      <c r="L148" s="251"/>
    </row>
  </sheetData>
  <autoFilter ref="A2:L147"/>
  <mergeCells count="2">
    <mergeCell ref="A148:E148"/>
    <mergeCell ref="A1:L1"/>
  </mergeCells>
  <dataValidations count="1">
    <dataValidation type="list" allowBlank="1" sqref="B3:B147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"/>
  <sheetViews>
    <sheetView workbookViewId="0">
      <pane ySplit="2" topLeftCell="A3" activePane="bottomLeft" state="frozen"/>
      <selection pane="bottomLeft" activeCell="B4" sqref="B4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8" customWidth="1"/>
    <col min="4" max="4" width="7.5703125" customWidth="1"/>
    <col min="5" max="5" width="32.28515625" customWidth="1"/>
    <col min="6" max="6" width="11.42578125" customWidth="1"/>
    <col min="7" max="7" width="10.7109375" customWidth="1"/>
    <col min="8" max="8" width="4.85546875" customWidth="1"/>
    <col min="9" max="10" width="9.28515625" customWidth="1"/>
    <col min="11" max="11" width="50.42578125" customWidth="1"/>
    <col min="12" max="12" width="6.42578125" customWidth="1"/>
    <col min="13" max="13" width="4.42578125" customWidth="1"/>
  </cols>
  <sheetData>
    <row r="1" spans="1:13">
      <c r="A1" s="659" t="s">
        <v>268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3"/>
    </row>
    <row r="2" spans="1:13">
      <c r="A2" s="256" t="s">
        <v>3</v>
      </c>
      <c r="B2" s="260" t="s">
        <v>6</v>
      </c>
      <c r="C2" s="261" t="s">
        <v>8</v>
      </c>
      <c r="D2" s="256" t="s">
        <v>9</v>
      </c>
      <c r="E2" s="256" t="s">
        <v>10</v>
      </c>
      <c r="F2" s="263" t="s">
        <v>11</v>
      </c>
      <c r="G2" s="265" t="s">
        <v>12</v>
      </c>
      <c r="H2" s="269" t="s">
        <v>13</v>
      </c>
      <c r="I2" s="265" t="s">
        <v>14</v>
      </c>
      <c r="J2" s="265" t="s">
        <v>15</v>
      </c>
      <c r="K2" s="256" t="s">
        <v>16</v>
      </c>
      <c r="L2" s="260" t="s">
        <v>135</v>
      </c>
      <c r="M2" s="260" t="s">
        <v>17</v>
      </c>
    </row>
    <row r="3" spans="1:13">
      <c r="A3" s="271">
        <v>27432005</v>
      </c>
      <c r="B3" s="274" t="s">
        <v>237</v>
      </c>
      <c r="C3" s="275">
        <v>38397</v>
      </c>
      <c r="D3" s="277">
        <v>367932014</v>
      </c>
      <c r="E3" s="279" t="s">
        <v>277</v>
      </c>
      <c r="F3" s="280">
        <v>37172.339999999997</v>
      </c>
      <c r="G3" s="283">
        <f t="shared" ref="G3:G244" si="0">IF(H3=0,F3*0.1,IF(OR(B3="Descompressão",B3="MS 207002004"),(F3-I3)*0.05,(F3-I3)*0.1))</f>
        <v>3717.2339999999999</v>
      </c>
      <c r="H3" s="286"/>
      <c r="I3" s="283">
        <f t="shared" ref="I3:I244" si="1">IF(H3=100%,F3,IF(H3=0,0,(F3-(F3/(1+H3)))))</f>
        <v>0</v>
      </c>
      <c r="J3" s="283">
        <f t="shared" ref="J3:J244" si="2">IF(OR($C3&lt;DATE(2002,7,30),$C3&gt;DATE(2012,1,3)),$I3,IF(AND($C3&gt;DATE(2002,7,29),$C3&lt;DATE(2004,3,1)),$I3*0.64,IF(AND($C3&gt;DATE(2004,2,28),$C3&lt;DATE(2012,1,4)),$I3*0.658)))</f>
        <v>0</v>
      </c>
      <c r="K3" s="293" t="s">
        <v>166</v>
      </c>
      <c r="L3" s="295"/>
      <c r="M3" s="297"/>
    </row>
    <row r="4" spans="1:13">
      <c r="A4" s="271">
        <v>142992002</v>
      </c>
      <c r="B4" s="277"/>
      <c r="C4" s="299"/>
      <c r="D4" s="277">
        <v>472172014</v>
      </c>
      <c r="E4" s="279" t="s">
        <v>292</v>
      </c>
      <c r="F4" s="302">
        <v>33906.78</v>
      </c>
      <c r="G4" s="283">
        <f t="shared" si="0"/>
        <v>3390.6779999999999</v>
      </c>
      <c r="H4" s="286"/>
      <c r="I4" s="283">
        <f t="shared" si="1"/>
        <v>0</v>
      </c>
      <c r="J4" s="283">
        <f t="shared" si="2"/>
        <v>0</v>
      </c>
      <c r="K4" s="293" t="s">
        <v>79</v>
      </c>
      <c r="L4" s="295"/>
      <c r="M4" s="297"/>
    </row>
    <row r="5" spans="1:13">
      <c r="A5" s="305">
        <v>313032009</v>
      </c>
      <c r="B5" s="307"/>
      <c r="C5" s="309"/>
      <c r="D5" s="307">
        <v>492852014</v>
      </c>
      <c r="E5" s="311" t="s">
        <v>294</v>
      </c>
      <c r="F5" s="313"/>
      <c r="G5" s="315">
        <f t="shared" si="0"/>
        <v>0</v>
      </c>
      <c r="H5" s="317"/>
      <c r="I5" s="315">
        <f t="shared" si="1"/>
        <v>0</v>
      </c>
      <c r="J5" s="315">
        <f t="shared" si="2"/>
        <v>0</v>
      </c>
      <c r="K5" s="319" t="s">
        <v>79</v>
      </c>
      <c r="L5" s="320"/>
      <c r="M5" s="323"/>
    </row>
    <row r="6" spans="1:13">
      <c r="A6" s="325">
        <v>313032009</v>
      </c>
      <c r="B6" s="327"/>
      <c r="C6" s="328"/>
      <c r="D6" s="327">
        <v>492882014</v>
      </c>
      <c r="E6" s="330" t="s">
        <v>303</v>
      </c>
      <c r="F6" s="332">
        <v>36269.300000000003</v>
      </c>
      <c r="G6" s="334">
        <f t="shared" si="0"/>
        <v>3626.9300000000003</v>
      </c>
      <c r="H6" s="336"/>
      <c r="I6" s="334">
        <f t="shared" si="1"/>
        <v>0</v>
      </c>
      <c r="J6" s="334">
        <f t="shared" si="2"/>
        <v>0</v>
      </c>
      <c r="K6" s="338" t="s">
        <v>166</v>
      </c>
      <c r="L6" s="341"/>
      <c r="M6" s="343"/>
    </row>
    <row r="7" spans="1:13">
      <c r="A7" s="325">
        <v>313032009</v>
      </c>
      <c r="B7" s="327"/>
      <c r="C7" s="328"/>
      <c r="D7" s="327">
        <v>492902014</v>
      </c>
      <c r="E7" s="330" t="s">
        <v>305</v>
      </c>
      <c r="F7" s="345"/>
      <c r="G7" s="334">
        <f t="shared" si="0"/>
        <v>0</v>
      </c>
      <c r="H7" s="336"/>
      <c r="I7" s="334">
        <f t="shared" si="1"/>
        <v>0</v>
      </c>
      <c r="J7" s="334">
        <f t="shared" si="2"/>
        <v>0</v>
      </c>
      <c r="K7" s="338" t="s">
        <v>79</v>
      </c>
      <c r="L7" s="341"/>
      <c r="M7" s="343"/>
    </row>
    <row r="8" spans="1:13">
      <c r="A8" s="348">
        <v>313032009</v>
      </c>
      <c r="B8" s="350"/>
      <c r="C8" s="352"/>
      <c r="D8" s="350">
        <v>492932014</v>
      </c>
      <c r="E8" s="354" t="s">
        <v>307</v>
      </c>
      <c r="F8" s="355"/>
      <c r="G8" s="357">
        <f t="shared" si="0"/>
        <v>0</v>
      </c>
      <c r="H8" s="359"/>
      <c r="I8" s="357">
        <f t="shared" si="1"/>
        <v>0</v>
      </c>
      <c r="J8" s="357">
        <f t="shared" si="2"/>
        <v>0</v>
      </c>
      <c r="K8" s="361" t="s">
        <v>79</v>
      </c>
      <c r="L8" s="363"/>
      <c r="M8" s="365"/>
    </row>
    <row r="9" spans="1:13">
      <c r="A9" s="305">
        <v>296682009</v>
      </c>
      <c r="B9" s="307"/>
      <c r="C9" s="309"/>
      <c r="D9" s="307">
        <v>492772014</v>
      </c>
      <c r="E9" s="311" t="s">
        <v>311</v>
      </c>
      <c r="F9" s="313"/>
      <c r="G9" s="315">
        <f t="shared" si="0"/>
        <v>0</v>
      </c>
      <c r="H9" s="317"/>
      <c r="I9" s="315">
        <f t="shared" si="1"/>
        <v>0</v>
      </c>
      <c r="J9" s="315">
        <f t="shared" si="2"/>
        <v>0</v>
      </c>
      <c r="K9" s="319" t="s">
        <v>79</v>
      </c>
      <c r="L9" s="320"/>
      <c r="M9" s="323"/>
    </row>
    <row r="10" spans="1:13">
      <c r="A10" s="325">
        <v>296682009</v>
      </c>
      <c r="B10" s="327"/>
      <c r="C10" s="328"/>
      <c r="D10" s="327">
        <v>492792014</v>
      </c>
      <c r="E10" s="330" t="s">
        <v>312</v>
      </c>
      <c r="F10" s="345"/>
      <c r="G10" s="334">
        <f t="shared" si="0"/>
        <v>0</v>
      </c>
      <c r="H10" s="336"/>
      <c r="I10" s="334">
        <f t="shared" si="1"/>
        <v>0</v>
      </c>
      <c r="J10" s="334">
        <f t="shared" si="2"/>
        <v>0</v>
      </c>
      <c r="K10" s="338" t="s">
        <v>148</v>
      </c>
      <c r="L10" s="341"/>
      <c r="M10" s="343"/>
    </row>
    <row r="11" spans="1:13">
      <c r="A11" s="325">
        <v>296682009</v>
      </c>
      <c r="B11" s="327"/>
      <c r="C11" s="328"/>
      <c r="D11" s="327">
        <v>492812014</v>
      </c>
      <c r="E11" s="330" t="s">
        <v>313</v>
      </c>
      <c r="F11" s="332">
        <v>39587.760000000002</v>
      </c>
      <c r="G11" s="334">
        <f t="shared" si="0"/>
        <v>3958.7760000000003</v>
      </c>
      <c r="H11" s="336"/>
      <c r="I11" s="334">
        <f t="shared" si="1"/>
        <v>0</v>
      </c>
      <c r="J11" s="334">
        <f t="shared" si="2"/>
        <v>0</v>
      </c>
      <c r="K11" s="338" t="s">
        <v>166</v>
      </c>
      <c r="L11" s="341"/>
      <c r="M11" s="343"/>
    </row>
    <row r="12" spans="1:13">
      <c r="A12" s="348">
        <v>296682009</v>
      </c>
      <c r="B12" s="350"/>
      <c r="C12" s="352"/>
      <c r="D12" s="350">
        <v>492672014</v>
      </c>
      <c r="E12" s="354" t="s">
        <v>315</v>
      </c>
      <c r="F12" s="355"/>
      <c r="G12" s="357">
        <f t="shared" si="0"/>
        <v>0</v>
      </c>
      <c r="H12" s="359"/>
      <c r="I12" s="357">
        <f t="shared" si="1"/>
        <v>0</v>
      </c>
      <c r="J12" s="357">
        <f t="shared" si="2"/>
        <v>0</v>
      </c>
      <c r="K12" s="361" t="s">
        <v>79</v>
      </c>
      <c r="L12" s="363"/>
      <c r="M12" s="365"/>
    </row>
    <row r="13" spans="1:13">
      <c r="A13" s="371">
        <v>37452006</v>
      </c>
      <c r="B13" s="274"/>
      <c r="C13" s="275"/>
      <c r="D13" s="274">
        <v>385642014</v>
      </c>
      <c r="E13" s="293" t="s">
        <v>318</v>
      </c>
      <c r="F13" s="373">
        <v>101083.4</v>
      </c>
      <c r="G13" s="283">
        <f t="shared" si="0"/>
        <v>10108.34</v>
      </c>
      <c r="H13" s="286"/>
      <c r="I13" s="283">
        <f t="shared" si="1"/>
        <v>0</v>
      </c>
      <c r="J13" s="283">
        <f t="shared" si="2"/>
        <v>0</v>
      </c>
      <c r="K13" s="293" t="s">
        <v>79</v>
      </c>
      <c r="L13" s="295"/>
      <c r="M13" s="297"/>
    </row>
    <row r="14" spans="1:13">
      <c r="A14" s="305">
        <v>175242002</v>
      </c>
      <c r="B14" s="375"/>
      <c r="C14" s="376"/>
      <c r="D14" s="375">
        <v>303712015</v>
      </c>
      <c r="E14" s="319" t="s">
        <v>322</v>
      </c>
      <c r="F14" s="378">
        <v>27556.73</v>
      </c>
      <c r="G14" s="315">
        <f t="shared" si="0"/>
        <v>2755.6730000000002</v>
      </c>
      <c r="H14" s="317"/>
      <c r="I14" s="315">
        <f t="shared" si="1"/>
        <v>0</v>
      </c>
      <c r="J14" s="315">
        <f t="shared" si="2"/>
        <v>0</v>
      </c>
      <c r="K14" s="319" t="s">
        <v>79</v>
      </c>
      <c r="L14" s="320"/>
      <c r="M14" s="323"/>
    </row>
    <row r="15" spans="1:13">
      <c r="A15" s="325">
        <v>175242002</v>
      </c>
      <c r="B15" s="380"/>
      <c r="C15" s="382"/>
      <c r="D15" s="380">
        <v>303672015</v>
      </c>
      <c r="E15" s="338" t="s">
        <v>329</v>
      </c>
      <c r="F15" s="332">
        <v>25484.48</v>
      </c>
      <c r="G15" s="334">
        <f t="shared" si="0"/>
        <v>2548.4480000000003</v>
      </c>
      <c r="H15" s="336"/>
      <c r="I15" s="334">
        <f t="shared" si="1"/>
        <v>0</v>
      </c>
      <c r="J15" s="334">
        <f t="shared" si="2"/>
        <v>0</v>
      </c>
      <c r="K15" s="338" t="s">
        <v>79</v>
      </c>
      <c r="L15" s="341"/>
      <c r="M15" s="343"/>
    </row>
    <row r="16" spans="1:13">
      <c r="A16" s="325">
        <v>175242002</v>
      </c>
      <c r="B16" s="380"/>
      <c r="C16" s="382"/>
      <c r="D16" s="380">
        <v>303642015</v>
      </c>
      <c r="E16" s="338" t="s">
        <v>332</v>
      </c>
      <c r="F16" s="345"/>
      <c r="G16" s="334">
        <f t="shared" si="0"/>
        <v>0</v>
      </c>
      <c r="H16" s="336"/>
      <c r="I16" s="334">
        <f t="shared" si="1"/>
        <v>0</v>
      </c>
      <c r="J16" s="334">
        <f t="shared" si="2"/>
        <v>0</v>
      </c>
      <c r="K16" s="338" t="s">
        <v>79</v>
      </c>
      <c r="L16" s="341"/>
      <c r="M16" s="343"/>
    </row>
    <row r="17" spans="1:13">
      <c r="A17" s="325">
        <v>175242002</v>
      </c>
      <c r="B17" s="380"/>
      <c r="C17" s="382"/>
      <c r="D17" s="380">
        <v>303552015</v>
      </c>
      <c r="E17" s="338" t="s">
        <v>335</v>
      </c>
      <c r="F17" s="332">
        <v>47674.18</v>
      </c>
      <c r="G17" s="334">
        <f t="shared" si="0"/>
        <v>4767.4180000000006</v>
      </c>
      <c r="H17" s="336"/>
      <c r="I17" s="334">
        <f t="shared" si="1"/>
        <v>0</v>
      </c>
      <c r="J17" s="334">
        <f t="shared" si="2"/>
        <v>0</v>
      </c>
      <c r="K17" s="338" t="s">
        <v>79</v>
      </c>
      <c r="L17" s="341"/>
      <c r="M17" s="343"/>
    </row>
    <row r="18" spans="1:13">
      <c r="A18" s="348">
        <v>175242002</v>
      </c>
      <c r="B18" s="387"/>
      <c r="C18" s="388"/>
      <c r="D18" s="387">
        <v>303502015</v>
      </c>
      <c r="E18" s="361" t="s">
        <v>339</v>
      </c>
      <c r="F18" s="355"/>
      <c r="G18" s="357">
        <f t="shared" si="0"/>
        <v>0</v>
      </c>
      <c r="H18" s="359"/>
      <c r="I18" s="357">
        <f t="shared" si="1"/>
        <v>0</v>
      </c>
      <c r="J18" s="357">
        <f t="shared" si="2"/>
        <v>0</v>
      </c>
      <c r="K18" s="361" t="s">
        <v>79</v>
      </c>
      <c r="L18" s="363"/>
      <c r="M18" s="365"/>
    </row>
    <row r="19" spans="1:13">
      <c r="A19" s="305">
        <v>42222003</v>
      </c>
      <c r="B19" s="375"/>
      <c r="C19" s="376"/>
      <c r="D19" s="375">
        <v>594802014</v>
      </c>
      <c r="E19" s="319" t="s">
        <v>342</v>
      </c>
      <c r="F19" s="655">
        <v>253257.85</v>
      </c>
      <c r="G19" s="315">
        <f t="shared" si="0"/>
        <v>25325.785000000003</v>
      </c>
      <c r="H19" s="317"/>
      <c r="I19" s="315">
        <f t="shared" si="1"/>
        <v>0</v>
      </c>
      <c r="J19" s="315">
        <f t="shared" si="2"/>
        <v>0</v>
      </c>
      <c r="K19" s="319" t="s">
        <v>79</v>
      </c>
      <c r="L19" s="320"/>
      <c r="M19" s="323"/>
    </row>
    <row r="20" spans="1:13">
      <c r="A20" s="325">
        <v>42222003</v>
      </c>
      <c r="B20" s="380"/>
      <c r="C20" s="382"/>
      <c r="D20" s="380">
        <v>594702014</v>
      </c>
      <c r="E20" s="338" t="s">
        <v>346</v>
      </c>
      <c r="F20" s="656"/>
      <c r="G20" s="395">
        <f t="shared" si="0"/>
        <v>0</v>
      </c>
      <c r="H20" s="397"/>
      <c r="I20" s="395">
        <f t="shared" si="1"/>
        <v>0</v>
      </c>
      <c r="J20" s="395">
        <f t="shared" si="2"/>
        <v>0</v>
      </c>
      <c r="K20" s="338" t="s">
        <v>79</v>
      </c>
      <c r="L20" s="341"/>
      <c r="M20" s="343"/>
    </row>
    <row r="21" spans="1:13">
      <c r="A21" s="325">
        <v>42222003</v>
      </c>
      <c r="B21" s="380"/>
      <c r="C21" s="382"/>
      <c r="D21" s="380">
        <v>594682014</v>
      </c>
      <c r="E21" s="338" t="s">
        <v>350</v>
      </c>
      <c r="F21" s="656"/>
      <c r="G21" s="395">
        <f t="shared" si="0"/>
        <v>0</v>
      </c>
      <c r="H21" s="397"/>
      <c r="I21" s="395">
        <f t="shared" si="1"/>
        <v>0</v>
      </c>
      <c r="J21" s="395">
        <f t="shared" si="2"/>
        <v>0</v>
      </c>
      <c r="K21" s="338" t="s">
        <v>79</v>
      </c>
      <c r="L21" s="341"/>
      <c r="M21" s="343"/>
    </row>
    <row r="22" spans="1:13">
      <c r="A22" s="325">
        <v>42222003</v>
      </c>
      <c r="B22" s="380"/>
      <c r="C22" s="382"/>
      <c r="D22" s="380">
        <v>594672014</v>
      </c>
      <c r="E22" s="338" t="s">
        <v>353</v>
      </c>
      <c r="F22" s="656"/>
      <c r="G22" s="395">
        <f t="shared" si="0"/>
        <v>0</v>
      </c>
      <c r="H22" s="397"/>
      <c r="I22" s="395">
        <f t="shared" si="1"/>
        <v>0</v>
      </c>
      <c r="J22" s="395">
        <f t="shared" si="2"/>
        <v>0</v>
      </c>
      <c r="K22" s="338" t="s">
        <v>79</v>
      </c>
      <c r="L22" s="341"/>
      <c r="M22" s="343"/>
    </row>
    <row r="23" spans="1:13">
      <c r="A23" s="325">
        <v>42222003</v>
      </c>
      <c r="B23" s="380"/>
      <c r="C23" s="382"/>
      <c r="D23" s="380">
        <v>594662014</v>
      </c>
      <c r="E23" s="338" t="s">
        <v>356</v>
      </c>
      <c r="F23" s="656"/>
      <c r="G23" s="395">
        <f t="shared" si="0"/>
        <v>0</v>
      </c>
      <c r="H23" s="397"/>
      <c r="I23" s="395">
        <f t="shared" si="1"/>
        <v>0</v>
      </c>
      <c r="J23" s="395">
        <f t="shared" si="2"/>
        <v>0</v>
      </c>
      <c r="K23" s="338" t="s">
        <v>79</v>
      </c>
      <c r="L23" s="341"/>
      <c r="M23" s="343"/>
    </row>
    <row r="24" spans="1:13">
      <c r="A24" s="348">
        <v>42222003</v>
      </c>
      <c r="B24" s="387"/>
      <c r="C24" s="388"/>
      <c r="D24" s="387">
        <v>594622014</v>
      </c>
      <c r="E24" s="361" t="s">
        <v>358</v>
      </c>
      <c r="F24" s="657"/>
      <c r="G24" s="401">
        <f t="shared" si="0"/>
        <v>0</v>
      </c>
      <c r="H24" s="403"/>
      <c r="I24" s="401">
        <f t="shared" si="1"/>
        <v>0</v>
      </c>
      <c r="J24" s="401">
        <f t="shared" si="2"/>
        <v>0</v>
      </c>
      <c r="K24" s="361" t="s">
        <v>79</v>
      </c>
      <c r="L24" s="363"/>
      <c r="M24" s="365"/>
    </row>
    <row r="25" spans="1:13">
      <c r="A25" s="305">
        <v>94942003</v>
      </c>
      <c r="B25" s="375"/>
      <c r="C25" s="376"/>
      <c r="D25" s="375">
        <v>559362014</v>
      </c>
      <c r="E25" s="319" t="s">
        <v>365</v>
      </c>
      <c r="F25" s="313">
        <f>21459.52+22871.04</f>
        <v>44330.559999999998</v>
      </c>
      <c r="G25" s="315">
        <f t="shared" si="0"/>
        <v>4433.0559999999996</v>
      </c>
      <c r="H25" s="317"/>
      <c r="I25" s="315">
        <f t="shared" si="1"/>
        <v>0</v>
      </c>
      <c r="J25" s="315">
        <f t="shared" si="2"/>
        <v>0</v>
      </c>
      <c r="K25" s="319" t="s">
        <v>79</v>
      </c>
      <c r="L25" s="320"/>
      <c r="M25" s="323"/>
    </row>
    <row r="26" spans="1:13">
      <c r="A26" s="348">
        <v>94942003</v>
      </c>
      <c r="B26" s="387"/>
      <c r="C26" s="388"/>
      <c r="D26" s="387">
        <v>559302014</v>
      </c>
      <c r="E26" s="361" t="s">
        <v>370</v>
      </c>
      <c r="F26" s="412">
        <f>53397.53+49335.55</f>
        <v>102733.08</v>
      </c>
      <c r="G26" s="401">
        <f t="shared" si="0"/>
        <v>10273.308000000001</v>
      </c>
      <c r="H26" s="403"/>
      <c r="I26" s="401">
        <f t="shared" si="1"/>
        <v>0</v>
      </c>
      <c r="J26" s="401">
        <f t="shared" si="2"/>
        <v>0</v>
      </c>
      <c r="K26" s="361" t="s">
        <v>79</v>
      </c>
      <c r="L26" s="363"/>
      <c r="M26" s="365"/>
    </row>
    <row r="27" spans="1:13">
      <c r="A27" s="305">
        <v>266522010</v>
      </c>
      <c r="B27" s="375"/>
      <c r="C27" s="376"/>
      <c r="D27" s="375">
        <v>182262015</v>
      </c>
      <c r="E27" s="319" t="s">
        <v>373</v>
      </c>
      <c r="F27" s="655">
        <v>193401.72</v>
      </c>
      <c r="G27" s="315">
        <f t="shared" si="0"/>
        <v>19340.172000000002</v>
      </c>
      <c r="H27" s="317"/>
      <c r="I27" s="315">
        <f t="shared" si="1"/>
        <v>0</v>
      </c>
      <c r="J27" s="315">
        <f t="shared" si="2"/>
        <v>0</v>
      </c>
      <c r="K27" s="319" t="s">
        <v>79</v>
      </c>
      <c r="L27" s="320"/>
      <c r="M27" s="323"/>
    </row>
    <row r="28" spans="1:13">
      <c r="A28" s="325">
        <v>266522010</v>
      </c>
      <c r="B28" s="380"/>
      <c r="C28" s="382"/>
      <c r="D28" s="380">
        <v>182232015</v>
      </c>
      <c r="E28" s="338" t="s">
        <v>379</v>
      </c>
      <c r="F28" s="656"/>
      <c r="G28" s="395">
        <f t="shared" si="0"/>
        <v>0</v>
      </c>
      <c r="H28" s="397"/>
      <c r="I28" s="395">
        <f t="shared" si="1"/>
        <v>0</v>
      </c>
      <c r="J28" s="395">
        <f t="shared" si="2"/>
        <v>0</v>
      </c>
      <c r="K28" s="338" t="s">
        <v>79</v>
      </c>
      <c r="L28" s="341"/>
      <c r="M28" s="343"/>
    </row>
    <row r="29" spans="1:13">
      <c r="A29" s="325">
        <v>266522010</v>
      </c>
      <c r="B29" s="380"/>
      <c r="C29" s="382"/>
      <c r="D29" s="380">
        <v>182222015</v>
      </c>
      <c r="E29" s="338" t="s">
        <v>380</v>
      </c>
      <c r="F29" s="656"/>
      <c r="G29" s="395">
        <f t="shared" si="0"/>
        <v>0</v>
      </c>
      <c r="H29" s="397"/>
      <c r="I29" s="395">
        <f t="shared" si="1"/>
        <v>0</v>
      </c>
      <c r="J29" s="395">
        <f t="shared" si="2"/>
        <v>0</v>
      </c>
      <c r="K29" s="338" t="s">
        <v>79</v>
      </c>
      <c r="L29" s="341"/>
      <c r="M29" s="343"/>
    </row>
    <row r="30" spans="1:13">
      <c r="A30" s="325">
        <v>266522010</v>
      </c>
      <c r="B30" s="380"/>
      <c r="C30" s="382"/>
      <c r="D30" s="380">
        <v>182212015</v>
      </c>
      <c r="E30" s="338" t="s">
        <v>382</v>
      </c>
      <c r="F30" s="656"/>
      <c r="G30" s="395">
        <f t="shared" si="0"/>
        <v>0</v>
      </c>
      <c r="H30" s="397"/>
      <c r="I30" s="395">
        <f t="shared" si="1"/>
        <v>0</v>
      </c>
      <c r="J30" s="395">
        <f t="shared" si="2"/>
        <v>0</v>
      </c>
      <c r="K30" s="338" t="s">
        <v>79</v>
      </c>
      <c r="L30" s="341"/>
      <c r="M30" s="343"/>
    </row>
    <row r="31" spans="1:13">
      <c r="A31" s="348">
        <v>266522010</v>
      </c>
      <c r="B31" s="387"/>
      <c r="C31" s="388"/>
      <c r="D31" s="387">
        <v>182202015</v>
      </c>
      <c r="E31" s="361" t="s">
        <v>383</v>
      </c>
      <c r="F31" s="657"/>
      <c r="G31" s="401">
        <f t="shared" si="0"/>
        <v>0</v>
      </c>
      <c r="H31" s="403"/>
      <c r="I31" s="401">
        <f t="shared" si="1"/>
        <v>0</v>
      </c>
      <c r="J31" s="401">
        <f t="shared" si="2"/>
        <v>0</v>
      </c>
      <c r="K31" s="361" t="s">
        <v>79</v>
      </c>
      <c r="L31" s="363"/>
      <c r="M31" s="365"/>
    </row>
    <row r="32" spans="1:13">
      <c r="A32" s="371">
        <v>124332008</v>
      </c>
      <c r="B32" s="274"/>
      <c r="C32" s="275"/>
      <c r="D32" s="274">
        <v>310242015</v>
      </c>
      <c r="E32" s="293" t="s">
        <v>384</v>
      </c>
      <c r="F32" s="373">
        <v>127108.66</v>
      </c>
      <c r="G32" s="283">
        <f t="shared" si="0"/>
        <v>12710.866000000002</v>
      </c>
      <c r="H32" s="286"/>
      <c r="I32" s="283">
        <f t="shared" si="1"/>
        <v>0</v>
      </c>
      <c r="J32" s="283">
        <f t="shared" si="2"/>
        <v>0</v>
      </c>
      <c r="K32" s="293" t="s">
        <v>79</v>
      </c>
      <c r="L32" s="295"/>
      <c r="M32" s="297"/>
    </row>
    <row r="33" spans="1:13">
      <c r="A33" s="426">
        <v>196312004</v>
      </c>
      <c r="B33" s="375"/>
      <c r="C33" s="376"/>
      <c r="D33" s="375">
        <v>77192015</v>
      </c>
      <c r="E33" s="319" t="s">
        <v>386</v>
      </c>
      <c r="F33" s="378">
        <v>179259.58</v>
      </c>
      <c r="G33" s="315">
        <f t="shared" si="0"/>
        <v>17925.957999999999</v>
      </c>
      <c r="H33" s="317"/>
      <c r="I33" s="315">
        <f t="shared" si="1"/>
        <v>0</v>
      </c>
      <c r="J33" s="315">
        <f t="shared" si="2"/>
        <v>0</v>
      </c>
      <c r="K33" s="319" t="s">
        <v>388</v>
      </c>
      <c r="L33" s="320"/>
      <c r="M33" s="323"/>
    </row>
    <row r="34" spans="1:13">
      <c r="A34" s="429">
        <v>196312004</v>
      </c>
      <c r="B34" s="380"/>
      <c r="C34" s="382"/>
      <c r="D34" s="380">
        <v>77132015</v>
      </c>
      <c r="E34" s="338" t="s">
        <v>389</v>
      </c>
      <c r="F34" s="431">
        <v>148727.28</v>
      </c>
      <c r="G34" s="395">
        <f t="shared" si="0"/>
        <v>14872.728000000001</v>
      </c>
      <c r="H34" s="397"/>
      <c r="I34" s="395">
        <f t="shared" si="1"/>
        <v>0</v>
      </c>
      <c r="J34" s="395">
        <f t="shared" si="2"/>
        <v>0</v>
      </c>
      <c r="K34" s="338" t="s">
        <v>79</v>
      </c>
      <c r="L34" s="341"/>
      <c r="M34" s="343"/>
    </row>
    <row r="35" spans="1:13">
      <c r="A35" s="434">
        <v>196312004</v>
      </c>
      <c r="B35" s="387"/>
      <c r="C35" s="388"/>
      <c r="D35" s="387">
        <v>77122015</v>
      </c>
      <c r="E35" s="361" t="s">
        <v>392</v>
      </c>
      <c r="F35" s="436">
        <v>175067.86</v>
      </c>
      <c r="G35" s="401">
        <f t="shared" si="0"/>
        <v>17506.786</v>
      </c>
      <c r="H35" s="403"/>
      <c r="I35" s="401">
        <f t="shared" si="1"/>
        <v>0</v>
      </c>
      <c r="J35" s="401">
        <f t="shared" si="2"/>
        <v>0</v>
      </c>
      <c r="K35" s="361" t="s">
        <v>79</v>
      </c>
      <c r="L35" s="363"/>
      <c r="M35" s="365"/>
    </row>
    <row r="36" spans="1:13">
      <c r="A36" s="426">
        <v>132142000</v>
      </c>
      <c r="B36" s="375"/>
      <c r="C36" s="376"/>
      <c r="D36" s="375">
        <v>5552015</v>
      </c>
      <c r="E36" s="319" t="s">
        <v>395</v>
      </c>
      <c r="F36" s="313">
        <f>55648.5+54884.91</f>
        <v>110533.41</v>
      </c>
      <c r="G36" s="315">
        <f t="shared" si="0"/>
        <v>11053.341</v>
      </c>
      <c r="H36" s="317"/>
      <c r="I36" s="315">
        <f t="shared" si="1"/>
        <v>0</v>
      </c>
      <c r="J36" s="315">
        <f t="shared" si="2"/>
        <v>0</v>
      </c>
      <c r="K36" s="319" t="s">
        <v>79</v>
      </c>
      <c r="L36" s="320"/>
      <c r="M36" s="323"/>
    </row>
    <row r="37" spans="1:13">
      <c r="A37" s="434">
        <v>132142000</v>
      </c>
      <c r="B37" s="387"/>
      <c r="C37" s="388"/>
      <c r="D37" s="387">
        <v>5562015</v>
      </c>
      <c r="E37" s="361" t="s">
        <v>398</v>
      </c>
      <c r="F37" s="436">
        <v>94686.9</v>
      </c>
      <c r="G37" s="401">
        <f t="shared" si="0"/>
        <v>9468.69</v>
      </c>
      <c r="H37" s="403"/>
      <c r="I37" s="401">
        <f t="shared" si="1"/>
        <v>0</v>
      </c>
      <c r="J37" s="401">
        <f t="shared" si="2"/>
        <v>0</v>
      </c>
      <c r="K37" s="361" t="s">
        <v>79</v>
      </c>
      <c r="L37" s="363"/>
      <c r="M37" s="365"/>
    </row>
    <row r="38" spans="1:13">
      <c r="A38" s="371">
        <v>20122000</v>
      </c>
      <c r="B38" s="274"/>
      <c r="C38" s="275"/>
      <c r="D38" s="274">
        <v>310312015</v>
      </c>
      <c r="E38" s="293" t="s">
        <v>401</v>
      </c>
      <c r="F38" s="373">
        <v>39571.360000000001</v>
      </c>
      <c r="G38" s="283">
        <f t="shared" si="0"/>
        <v>3957.1360000000004</v>
      </c>
      <c r="H38" s="286"/>
      <c r="I38" s="283">
        <f t="shared" si="1"/>
        <v>0</v>
      </c>
      <c r="J38" s="283">
        <f t="shared" si="2"/>
        <v>0</v>
      </c>
      <c r="K38" s="293" t="s">
        <v>79</v>
      </c>
      <c r="L38" s="295"/>
      <c r="M38" s="297"/>
    </row>
    <row r="39" spans="1:13">
      <c r="A39" s="426">
        <v>208122004</v>
      </c>
      <c r="B39" s="375"/>
      <c r="C39" s="376"/>
      <c r="D39" s="375">
        <v>296362015</v>
      </c>
      <c r="E39" s="319" t="s">
        <v>404</v>
      </c>
      <c r="F39" s="378">
        <v>179327.26</v>
      </c>
      <c r="G39" s="315">
        <f t="shared" si="0"/>
        <v>17932.726000000002</v>
      </c>
      <c r="H39" s="317"/>
      <c r="I39" s="315">
        <f t="shared" si="1"/>
        <v>0</v>
      </c>
      <c r="J39" s="315">
        <f t="shared" si="2"/>
        <v>0</v>
      </c>
      <c r="K39" s="319" t="s">
        <v>388</v>
      </c>
      <c r="L39" s="320"/>
      <c r="M39" s="323"/>
    </row>
    <row r="40" spans="1:13">
      <c r="A40" s="429">
        <v>208122004</v>
      </c>
      <c r="B40" s="380"/>
      <c r="C40" s="382"/>
      <c r="D40" s="380">
        <v>296302015</v>
      </c>
      <c r="E40" s="338" t="s">
        <v>407</v>
      </c>
      <c r="F40" s="332"/>
      <c r="G40" s="334">
        <f t="shared" si="0"/>
        <v>0</v>
      </c>
      <c r="H40" s="336"/>
      <c r="I40" s="334">
        <f t="shared" si="1"/>
        <v>0</v>
      </c>
      <c r="J40" s="334">
        <f t="shared" si="2"/>
        <v>0</v>
      </c>
      <c r="K40" s="338" t="s">
        <v>79</v>
      </c>
      <c r="L40" s="341"/>
      <c r="M40" s="343"/>
    </row>
    <row r="41" spans="1:13">
      <c r="A41" s="434">
        <v>208122004</v>
      </c>
      <c r="B41" s="387"/>
      <c r="C41" s="388"/>
      <c r="D41" s="387">
        <v>296282015</v>
      </c>
      <c r="E41" s="361" t="s">
        <v>409</v>
      </c>
      <c r="F41" s="439">
        <v>189870.79</v>
      </c>
      <c r="G41" s="357">
        <f t="shared" si="0"/>
        <v>18987.079000000002</v>
      </c>
      <c r="H41" s="359"/>
      <c r="I41" s="357">
        <f t="shared" si="1"/>
        <v>0</v>
      </c>
      <c r="J41" s="357">
        <f t="shared" si="2"/>
        <v>0</v>
      </c>
      <c r="K41" s="361" t="s">
        <v>388</v>
      </c>
      <c r="L41" s="363"/>
      <c r="M41" s="365"/>
    </row>
    <row r="42" spans="1:13">
      <c r="A42" s="305">
        <v>107362008</v>
      </c>
      <c r="B42" s="375"/>
      <c r="C42" s="376"/>
      <c r="D42" s="375">
        <v>596362014</v>
      </c>
      <c r="E42" s="319" t="s">
        <v>414</v>
      </c>
      <c r="F42" s="378">
        <v>73826.880000000005</v>
      </c>
      <c r="G42" s="315">
        <f t="shared" si="0"/>
        <v>7382.688000000001</v>
      </c>
      <c r="H42" s="317"/>
      <c r="I42" s="315">
        <f t="shared" si="1"/>
        <v>0</v>
      </c>
      <c r="J42" s="315">
        <f t="shared" si="2"/>
        <v>0</v>
      </c>
      <c r="K42" s="319" t="s">
        <v>79</v>
      </c>
      <c r="L42" s="320"/>
      <c r="M42" s="323"/>
    </row>
    <row r="43" spans="1:13">
      <c r="A43" s="348">
        <v>107362008</v>
      </c>
      <c r="B43" s="387"/>
      <c r="C43" s="388"/>
      <c r="D43" s="387">
        <v>596382014</v>
      </c>
      <c r="E43" s="361" t="s">
        <v>415</v>
      </c>
      <c r="F43" s="436">
        <v>79420.5</v>
      </c>
      <c r="G43" s="401">
        <f t="shared" si="0"/>
        <v>7942.05</v>
      </c>
      <c r="H43" s="403"/>
      <c r="I43" s="401">
        <f t="shared" si="1"/>
        <v>0</v>
      </c>
      <c r="J43" s="401">
        <f t="shared" si="2"/>
        <v>0</v>
      </c>
      <c r="K43" s="361" t="s">
        <v>388</v>
      </c>
      <c r="L43" s="363"/>
      <c r="M43" s="365"/>
    </row>
    <row r="44" spans="1:13">
      <c r="A44" s="305">
        <v>83172008</v>
      </c>
      <c r="B44" s="375"/>
      <c r="C44" s="376"/>
      <c r="D44" s="375">
        <v>77252015</v>
      </c>
      <c r="E44" s="319" t="s">
        <v>418</v>
      </c>
      <c r="F44" s="378">
        <v>118565.74</v>
      </c>
      <c r="G44" s="315">
        <f t="shared" si="0"/>
        <v>11856.574000000001</v>
      </c>
      <c r="H44" s="317"/>
      <c r="I44" s="315">
        <f t="shared" si="1"/>
        <v>0</v>
      </c>
      <c r="J44" s="315">
        <f t="shared" si="2"/>
        <v>0</v>
      </c>
      <c r="K44" s="319" t="s">
        <v>79</v>
      </c>
      <c r="L44" s="320"/>
      <c r="M44" s="323"/>
    </row>
    <row r="45" spans="1:13">
      <c r="A45" s="325">
        <v>83172008</v>
      </c>
      <c r="B45" s="380"/>
      <c r="C45" s="382"/>
      <c r="D45" s="380">
        <v>182062015</v>
      </c>
      <c r="E45" s="338" t="s">
        <v>421</v>
      </c>
      <c r="F45" s="431">
        <v>109293.39</v>
      </c>
      <c r="G45" s="395">
        <f t="shared" si="0"/>
        <v>10929.339</v>
      </c>
      <c r="H45" s="397"/>
      <c r="I45" s="395">
        <f t="shared" si="1"/>
        <v>0</v>
      </c>
      <c r="J45" s="395">
        <f t="shared" si="2"/>
        <v>0</v>
      </c>
      <c r="K45" s="338" t="s">
        <v>79</v>
      </c>
      <c r="L45" s="341"/>
      <c r="M45" s="343"/>
    </row>
    <row r="46" spans="1:13">
      <c r="A46" s="325">
        <v>83172008</v>
      </c>
      <c r="B46" s="380"/>
      <c r="C46" s="382"/>
      <c r="D46" s="380">
        <v>77182015</v>
      </c>
      <c r="E46" s="338" t="s">
        <v>423</v>
      </c>
      <c r="F46" s="431">
        <v>98215.35</v>
      </c>
      <c r="G46" s="395">
        <f t="shared" si="0"/>
        <v>9821.5350000000017</v>
      </c>
      <c r="H46" s="397"/>
      <c r="I46" s="395">
        <f t="shared" si="1"/>
        <v>0</v>
      </c>
      <c r="J46" s="395">
        <f t="shared" si="2"/>
        <v>0</v>
      </c>
      <c r="K46" s="338" t="s">
        <v>79</v>
      </c>
      <c r="L46" s="341"/>
      <c r="M46" s="343"/>
    </row>
    <row r="47" spans="1:13">
      <c r="A47" s="348">
        <v>83172008</v>
      </c>
      <c r="B47" s="387"/>
      <c r="C47" s="388"/>
      <c r="D47" s="387">
        <v>77152015</v>
      </c>
      <c r="E47" s="361" t="s">
        <v>430</v>
      </c>
      <c r="F47" s="436">
        <v>132156.54</v>
      </c>
      <c r="G47" s="401">
        <f t="shared" si="0"/>
        <v>13215.654000000002</v>
      </c>
      <c r="H47" s="403"/>
      <c r="I47" s="401">
        <f t="shared" si="1"/>
        <v>0</v>
      </c>
      <c r="J47" s="401">
        <f t="shared" si="2"/>
        <v>0</v>
      </c>
      <c r="K47" s="361" t="s">
        <v>79</v>
      </c>
      <c r="L47" s="363"/>
      <c r="M47" s="365"/>
    </row>
    <row r="48" spans="1:13">
      <c r="A48" s="426">
        <v>89112014</v>
      </c>
      <c r="B48" s="375" t="s">
        <v>432</v>
      </c>
      <c r="C48" s="376"/>
      <c r="D48" s="375">
        <v>315712015</v>
      </c>
      <c r="E48" s="319" t="s">
        <v>433</v>
      </c>
      <c r="F48" s="378">
        <v>63593.65</v>
      </c>
      <c r="G48" s="315">
        <f t="shared" si="0"/>
        <v>3028.2690476190478</v>
      </c>
      <c r="H48" s="317">
        <v>0.05</v>
      </c>
      <c r="I48" s="315">
        <f t="shared" si="1"/>
        <v>3028.2690476190473</v>
      </c>
      <c r="J48" s="315">
        <f t="shared" si="2"/>
        <v>3028.2690476190473</v>
      </c>
      <c r="K48" s="319" t="s">
        <v>79</v>
      </c>
      <c r="L48" s="320"/>
      <c r="M48" s="323"/>
    </row>
    <row r="49" spans="1:13">
      <c r="A49" s="429">
        <v>89112014</v>
      </c>
      <c r="B49" s="380" t="s">
        <v>432</v>
      </c>
      <c r="C49" s="382"/>
      <c r="D49" s="380">
        <v>316442015</v>
      </c>
      <c r="E49" s="338" t="s">
        <v>435</v>
      </c>
      <c r="F49" s="431">
        <v>138649.71</v>
      </c>
      <c r="G49" s="395">
        <f t="shared" si="0"/>
        <v>6602.3671428571433</v>
      </c>
      <c r="H49" s="397">
        <v>0.05</v>
      </c>
      <c r="I49" s="395">
        <f t="shared" si="1"/>
        <v>6602.3671428571397</v>
      </c>
      <c r="J49" s="395">
        <f t="shared" si="2"/>
        <v>6602.3671428571397</v>
      </c>
      <c r="K49" s="338" t="s">
        <v>79</v>
      </c>
      <c r="L49" s="341"/>
      <c r="M49" s="343"/>
    </row>
    <row r="50" spans="1:13">
      <c r="A50" s="429">
        <v>89112014</v>
      </c>
      <c r="B50" s="380" t="s">
        <v>432</v>
      </c>
      <c r="C50" s="382"/>
      <c r="D50" s="380">
        <v>315692015</v>
      </c>
      <c r="E50" s="338" t="s">
        <v>439</v>
      </c>
      <c r="F50" s="431">
        <v>71692.639999999999</v>
      </c>
      <c r="G50" s="395">
        <f t="shared" si="0"/>
        <v>3413.9352380952378</v>
      </c>
      <c r="H50" s="397">
        <v>0.05</v>
      </c>
      <c r="I50" s="395">
        <f t="shared" si="1"/>
        <v>3413.9352380952478</v>
      </c>
      <c r="J50" s="395">
        <f t="shared" si="2"/>
        <v>3413.9352380952478</v>
      </c>
      <c r="K50" s="338" t="s">
        <v>79</v>
      </c>
      <c r="L50" s="341"/>
      <c r="M50" s="343"/>
    </row>
    <row r="51" spans="1:13">
      <c r="A51" s="429">
        <v>89112014</v>
      </c>
      <c r="B51" s="380" t="s">
        <v>432</v>
      </c>
      <c r="C51" s="382"/>
      <c r="D51" s="380">
        <v>315732015</v>
      </c>
      <c r="E51" s="338" t="s">
        <v>326</v>
      </c>
      <c r="F51" s="431">
        <v>125542.78</v>
      </c>
      <c r="G51" s="395">
        <f t="shared" si="0"/>
        <v>5978.2276190476186</v>
      </c>
      <c r="H51" s="397">
        <v>0.05</v>
      </c>
      <c r="I51" s="395">
        <f t="shared" si="1"/>
        <v>5978.2276190476259</v>
      </c>
      <c r="J51" s="395">
        <f t="shared" si="2"/>
        <v>5978.2276190476259</v>
      </c>
      <c r="K51" s="338" t="s">
        <v>79</v>
      </c>
      <c r="L51" s="341"/>
      <c r="M51" s="343"/>
    </row>
    <row r="52" spans="1:13">
      <c r="A52" s="429">
        <v>89112014</v>
      </c>
      <c r="B52" s="380" t="s">
        <v>432</v>
      </c>
      <c r="C52" s="382"/>
      <c r="D52" s="380">
        <v>316392015</v>
      </c>
      <c r="E52" s="338" t="s">
        <v>447</v>
      </c>
      <c r="F52" s="431">
        <v>39731.68</v>
      </c>
      <c r="G52" s="395">
        <f t="shared" si="0"/>
        <v>1891.9847619047619</v>
      </c>
      <c r="H52" s="397">
        <v>0.05</v>
      </c>
      <c r="I52" s="395">
        <f t="shared" si="1"/>
        <v>1891.984761904765</v>
      </c>
      <c r="J52" s="395">
        <f t="shared" si="2"/>
        <v>1891.984761904765</v>
      </c>
      <c r="K52" s="338" t="s">
        <v>79</v>
      </c>
      <c r="L52" s="341"/>
      <c r="M52" s="343"/>
    </row>
    <row r="53" spans="1:13">
      <c r="A53" s="429">
        <v>89112014</v>
      </c>
      <c r="B53" s="380" t="s">
        <v>432</v>
      </c>
      <c r="C53" s="382"/>
      <c r="D53" s="380">
        <v>316432015</v>
      </c>
      <c r="E53" s="338" t="s">
        <v>452</v>
      </c>
      <c r="F53" s="431">
        <v>135817.68</v>
      </c>
      <c r="G53" s="395">
        <f t="shared" si="0"/>
        <v>6467.5085714285706</v>
      </c>
      <c r="H53" s="397">
        <v>0.05</v>
      </c>
      <c r="I53" s="395">
        <f t="shared" si="1"/>
        <v>6467.5085714285815</v>
      </c>
      <c r="J53" s="395">
        <f t="shared" si="2"/>
        <v>6467.5085714285815</v>
      </c>
      <c r="K53" s="338" t="s">
        <v>79</v>
      </c>
      <c r="L53" s="341"/>
      <c r="M53" s="343"/>
    </row>
    <row r="54" spans="1:13">
      <c r="A54" s="429">
        <v>89112014</v>
      </c>
      <c r="B54" s="380" t="s">
        <v>432</v>
      </c>
      <c r="C54" s="382"/>
      <c r="D54" s="380">
        <v>315752015</v>
      </c>
      <c r="E54" s="338" t="s">
        <v>456</v>
      </c>
      <c r="F54" s="431">
        <v>125200.22</v>
      </c>
      <c r="G54" s="395">
        <f t="shared" si="0"/>
        <v>5961.9152380952382</v>
      </c>
      <c r="H54" s="397">
        <v>0.05</v>
      </c>
      <c r="I54" s="395">
        <f t="shared" si="1"/>
        <v>5961.9152380952437</v>
      </c>
      <c r="J54" s="395">
        <f t="shared" si="2"/>
        <v>5961.9152380952437</v>
      </c>
      <c r="K54" s="338" t="s">
        <v>79</v>
      </c>
      <c r="L54" s="341"/>
      <c r="M54" s="343"/>
    </row>
    <row r="55" spans="1:13">
      <c r="A55" s="429">
        <v>89112014</v>
      </c>
      <c r="B55" s="380" t="s">
        <v>432</v>
      </c>
      <c r="C55" s="382"/>
      <c r="D55" s="380">
        <v>316452015</v>
      </c>
      <c r="E55" s="338" t="s">
        <v>459</v>
      </c>
      <c r="F55" s="431">
        <v>124497.26</v>
      </c>
      <c r="G55" s="395">
        <f t="shared" si="0"/>
        <v>5928.4409523809518</v>
      </c>
      <c r="H55" s="397">
        <v>0.05</v>
      </c>
      <c r="I55" s="395">
        <f t="shared" si="1"/>
        <v>5928.4409523809591</v>
      </c>
      <c r="J55" s="395">
        <f t="shared" si="2"/>
        <v>5928.4409523809591</v>
      </c>
      <c r="K55" s="338" t="s">
        <v>79</v>
      </c>
      <c r="L55" s="341"/>
      <c r="M55" s="343"/>
    </row>
    <row r="56" spans="1:13">
      <c r="A56" s="429">
        <v>89112014</v>
      </c>
      <c r="B56" s="380" t="s">
        <v>432</v>
      </c>
      <c r="C56" s="382"/>
      <c r="D56" s="380">
        <v>316422015</v>
      </c>
      <c r="E56" s="338" t="s">
        <v>463</v>
      </c>
      <c r="F56" s="431">
        <v>77371.41</v>
      </c>
      <c r="G56" s="395">
        <f t="shared" si="0"/>
        <v>3684.3528571428574</v>
      </c>
      <c r="H56" s="397">
        <v>0.05</v>
      </c>
      <c r="I56" s="395">
        <f t="shared" si="1"/>
        <v>3684.3528571428615</v>
      </c>
      <c r="J56" s="395">
        <f t="shared" si="2"/>
        <v>3684.3528571428615</v>
      </c>
      <c r="K56" s="338" t="s">
        <v>79</v>
      </c>
      <c r="L56" s="341"/>
      <c r="M56" s="343"/>
    </row>
    <row r="57" spans="1:13">
      <c r="A57" s="429">
        <v>89112014</v>
      </c>
      <c r="B57" s="380" t="s">
        <v>432</v>
      </c>
      <c r="C57" s="382"/>
      <c r="D57" s="380">
        <v>315762015</v>
      </c>
      <c r="E57" s="338" t="s">
        <v>466</v>
      </c>
      <c r="F57" s="431">
        <f>132410.56+132885.03</f>
        <v>265295.58999999997</v>
      </c>
      <c r="G57" s="395">
        <f t="shared" si="0"/>
        <v>12633.123333333331</v>
      </c>
      <c r="H57" s="397">
        <v>0.05</v>
      </c>
      <c r="I57" s="395">
        <f t="shared" si="1"/>
        <v>12633.123333333351</v>
      </c>
      <c r="J57" s="395">
        <f t="shared" si="2"/>
        <v>12633.123333333351</v>
      </c>
      <c r="K57" s="338" t="s">
        <v>79</v>
      </c>
      <c r="L57" s="341"/>
      <c r="M57" s="343"/>
    </row>
    <row r="58" spans="1:13">
      <c r="A58" s="429">
        <v>89112014</v>
      </c>
      <c r="B58" s="380" t="s">
        <v>432</v>
      </c>
      <c r="C58" s="382"/>
      <c r="D58" s="380">
        <v>315722015</v>
      </c>
      <c r="E58" s="338" t="s">
        <v>472</v>
      </c>
      <c r="F58" s="444">
        <f>73469.28+73469.28</f>
        <v>146938.56</v>
      </c>
      <c r="G58" s="395">
        <f t="shared" si="0"/>
        <v>6997.074285714285</v>
      </c>
      <c r="H58" s="397">
        <v>0.05</v>
      </c>
      <c r="I58" s="395">
        <f t="shared" si="1"/>
        <v>6997.074285714305</v>
      </c>
      <c r="J58" s="395">
        <f t="shared" si="2"/>
        <v>6997.074285714305</v>
      </c>
      <c r="K58" s="338" t="s">
        <v>79</v>
      </c>
      <c r="L58" s="341"/>
      <c r="M58" s="343"/>
    </row>
    <row r="59" spans="1:13">
      <c r="A59" s="429">
        <v>89112014</v>
      </c>
      <c r="B59" s="380" t="s">
        <v>432</v>
      </c>
      <c r="C59" s="382"/>
      <c r="D59" s="380">
        <v>316372015</v>
      </c>
      <c r="E59" s="338" t="s">
        <v>479</v>
      </c>
      <c r="F59" s="431">
        <v>58042.53</v>
      </c>
      <c r="G59" s="395">
        <f t="shared" si="0"/>
        <v>2763.9300000000003</v>
      </c>
      <c r="H59" s="397">
        <v>0.05</v>
      </c>
      <c r="I59" s="395">
        <f t="shared" si="1"/>
        <v>2763.9300000000003</v>
      </c>
      <c r="J59" s="395">
        <f t="shared" si="2"/>
        <v>2763.9300000000003</v>
      </c>
      <c r="K59" s="338" t="s">
        <v>79</v>
      </c>
      <c r="L59" s="341"/>
      <c r="M59" s="343"/>
    </row>
    <row r="60" spans="1:13">
      <c r="A60" s="429">
        <v>89112014</v>
      </c>
      <c r="B60" s="380" t="s">
        <v>432</v>
      </c>
      <c r="C60" s="382"/>
      <c r="D60" s="380">
        <v>316412015</v>
      </c>
      <c r="E60" s="338" t="s">
        <v>482</v>
      </c>
      <c r="F60" s="444">
        <f>134393.17+173489.83</f>
        <v>307883</v>
      </c>
      <c r="G60" s="395">
        <f t="shared" si="0"/>
        <v>14661.095238095237</v>
      </c>
      <c r="H60" s="397">
        <v>0.05</v>
      </c>
      <c r="I60" s="395">
        <f t="shared" si="1"/>
        <v>14661.095238095266</v>
      </c>
      <c r="J60" s="395">
        <f t="shared" si="2"/>
        <v>14661.095238095266</v>
      </c>
      <c r="K60" s="338" t="s">
        <v>79</v>
      </c>
      <c r="L60" s="341"/>
      <c r="M60" s="343"/>
    </row>
    <row r="61" spans="1:13">
      <c r="A61" s="429">
        <v>89112014</v>
      </c>
      <c r="B61" s="380" t="s">
        <v>432</v>
      </c>
      <c r="C61" s="382"/>
      <c r="D61" s="380">
        <v>315772015</v>
      </c>
      <c r="E61" s="338" t="s">
        <v>487</v>
      </c>
      <c r="F61" s="431">
        <v>125559.53</v>
      </c>
      <c r="G61" s="395">
        <f t="shared" si="0"/>
        <v>5979.0252380952379</v>
      </c>
      <c r="H61" s="397">
        <v>0.05</v>
      </c>
      <c r="I61" s="395">
        <f t="shared" si="1"/>
        <v>5979.0252380952443</v>
      </c>
      <c r="J61" s="395">
        <f t="shared" si="2"/>
        <v>5979.0252380952443</v>
      </c>
      <c r="K61" s="338" t="s">
        <v>79</v>
      </c>
      <c r="L61" s="341"/>
      <c r="M61" s="343"/>
    </row>
    <row r="62" spans="1:13">
      <c r="A62" s="434">
        <v>89112014</v>
      </c>
      <c r="B62" s="387" t="s">
        <v>432</v>
      </c>
      <c r="C62" s="388"/>
      <c r="D62" s="387">
        <v>315782015</v>
      </c>
      <c r="E62" s="361" t="s">
        <v>489</v>
      </c>
      <c r="F62" s="436">
        <v>124244.06</v>
      </c>
      <c r="G62" s="401">
        <f t="shared" si="0"/>
        <v>5916.3838095238098</v>
      </c>
      <c r="H62" s="403">
        <v>0.05</v>
      </c>
      <c r="I62" s="401">
        <f t="shared" si="1"/>
        <v>5916.383809523817</v>
      </c>
      <c r="J62" s="401">
        <f t="shared" si="2"/>
        <v>5916.383809523817</v>
      </c>
      <c r="K62" s="361" t="s">
        <v>79</v>
      </c>
      <c r="L62" s="363"/>
      <c r="M62" s="365"/>
    </row>
    <row r="63" spans="1:13">
      <c r="A63" s="426">
        <v>156942014</v>
      </c>
      <c r="B63" s="375" t="s">
        <v>432</v>
      </c>
      <c r="C63" s="376"/>
      <c r="D63" s="375">
        <v>313592015</v>
      </c>
      <c r="E63" s="319" t="s">
        <v>492</v>
      </c>
      <c r="F63" s="378"/>
      <c r="G63" s="315">
        <f t="shared" si="0"/>
        <v>0</v>
      </c>
      <c r="H63" s="317">
        <v>0.05</v>
      </c>
      <c r="I63" s="315">
        <f t="shared" si="1"/>
        <v>0</v>
      </c>
      <c r="J63" s="315">
        <f t="shared" si="2"/>
        <v>0</v>
      </c>
      <c r="K63" s="319" t="s">
        <v>79</v>
      </c>
      <c r="L63" s="320"/>
      <c r="M63" s="323"/>
    </row>
    <row r="64" spans="1:13">
      <c r="A64" s="429">
        <v>156942014</v>
      </c>
      <c r="B64" s="380" t="s">
        <v>432</v>
      </c>
      <c r="C64" s="382"/>
      <c r="D64" s="380">
        <v>313722015</v>
      </c>
      <c r="E64" s="338" t="s">
        <v>496</v>
      </c>
      <c r="F64" s="332"/>
      <c r="G64" s="334">
        <f t="shared" si="0"/>
        <v>0</v>
      </c>
      <c r="H64" s="336">
        <v>0.05</v>
      </c>
      <c r="I64" s="334">
        <f t="shared" si="1"/>
        <v>0</v>
      </c>
      <c r="J64" s="334">
        <f t="shared" si="2"/>
        <v>0</v>
      </c>
      <c r="K64" s="338" t="s">
        <v>79</v>
      </c>
      <c r="L64" s="341"/>
      <c r="M64" s="343"/>
    </row>
    <row r="65" spans="1:13">
      <c r="A65" s="429">
        <v>156942014</v>
      </c>
      <c r="B65" s="380" t="s">
        <v>432</v>
      </c>
      <c r="C65" s="382"/>
      <c r="D65" s="380">
        <v>313742015</v>
      </c>
      <c r="E65" s="338" t="s">
        <v>500</v>
      </c>
      <c r="F65" s="332"/>
      <c r="G65" s="334">
        <f t="shared" si="0"/>
        <v>0</v>
      </c>
      <c r="H65" s="336">
        <v>0.05</v>
      </c>
      <c r="I65" s="334">
        <f t="shared" si="1"/>
        <v>0</v>
      </c>
      <c r="J65" s="334">
        <f t="shared" si="2"/>
        <v>0</v>
      </c>
      <c r="K65" s="338" t="s">
        <v>79</v>
      </c>
      <c r="L65" s="341"/>
      <c r="M65" s="343"/>
    </row>
    <row r="66" spans="1:13">
      <c r="A66" s="429">
        <v>156942014</v>
      </c>
      <c r="B66" s="380" t="s">
        <v>432</v>
      </c>
      <c r="C66" s="382"/>
      <c r="D66" s="380">
        <v>313762015</v>
      </c>
      <c r="E66" s="338" t="s">
        <v>502</v>
      </c>
      <c r="F66" s="332"/>
      <c r="G66" s="334">
        <f t="shared" si="0"/>
        <v>0</v>
      </c>
      <c r="H66" s="336">
        <v>0.05</v>
      </c>
      <c r="I66" s="334">
        <f t="shared" si="1"/>
        <v>0</v>
      </c>
      <c r="J66" s="334">
        <f t="shared" si="2"/>
        <v>0</v>
      </c>
      <c r="K66" s="338" t="s">
        <v>79</v>
      </c>
      <c r="L66" s="341"/>
      <c r="M66" s="343"/>
    </row>
    <row r="67" spans="1:13">
      <c r="A67" s="429">
        <v>156942014</v>
      </c>
      <c r="B67" s="380" t="s">
        <v>432</v>
      </c>
      <c r="C67" s="382"/>
      <c r="D67" s="380">
        <v>313772015</v>
      </c>
      <c r="E67" s="338" t="s">
        <v>505</v>
      </c>
      <c r="F67" s="332"/>
      <c r="G67" s="334">
        <f t="shared" si="0"/>
        <v>0</v>
      </c>
      <c r="H67" s="336">
        <v>0.05</v>
      </c>
      <c r="I67" s="334">
        <f t="shared" si="1"/>
        <v>0</v>
      </c>
      <c r="J67" s="334">
        <f t="shared" si="2"/>
        <v>0</v>
      </c>
      <c r="K67" s="338" t="s">
        <v>79</v>
      </c>
      <c r="L67" s="341"/>
      <c r="M67" s="343"/>
    </row>
    <row r="68" spans="1:13">
      <c r="A68" s="429">
        <v>156942014</v>
      </c>
      <c r="B68" s="380" t="s">
        <v>432</v>
      </c>
      <c r="C68" s="382"/>
      <c r="D68" s="380">
        <v>313782015</v>
      </c>
      <c r="E68" s="338" t="s">
        <v>507</v>
      </c>
      <c r="F68" s="332"/>
      <c r="G68" s="334">
        <f t="shared" si="0"/>
        <v>0</v>
      </c>
      <c r="H68" s="336">
        <v>0.05</v>
      </c>
      <c r="I68" s="334">
        <f t="shared" si="1"/>
        <v>0</v>
      </c>
      <c r="J68" s="334">
        <f t="shared" si="2"/>
        <v>0</v>
      </c>
      <c r="K68" s="338" t="s">
        <v>79</v>
      </c>
      <c r="L68" s="341"/>
      <c r="M68" s="343"/>
    </row>
    <row r="69" spans="1:13">
      <c r="A69" s="429">
        <v>156942014</v>
      </c>
      <c r="B69" s="380" t="s">
        <v>432</v>
      </c>
      <c r="C69" s="382"/>
      <c r="D69" s="380">
        <v>313792015</v>
      </c>
      <c r="E69" s="338" t="s">
        <v>509</v>
      </c>
      <c r="F69" s="332"/>
      <c r="G69" s="334">
        <f t="shared" si="0"/>
        <v>0</v>
      </c>
      <c r="H69" s="336">
        <v>0.05</v>
      </c>
      <c r="I69" s="334">
        <f t="shared" si="1"/>
        <v>0</v>
      </c>
      <c r="J69" s="334">
        <f t="shared" si="2"/>
        <v>0</v>
      </c>
      <c r="K69" s="338" t="s">
        <v>79</v>
      </c>
      <c r="L69" s="341"/>
      <c r="M69" s="343"/>
    </row>
    <row r="70" spans="1:13">
      <c r="A70" s="429">
        <v>156942014</v>
      </c>
      <c r="B70" s="380" t="s">
        <v>432</v>
      </c>
      <c r="C70" s="382"/>
      <c r="D70" s="380">
        <v>314092015</v>
      </c>
      <c r="E70" s="338" t="s">
        <v>513</v>
      </c>
      <c r="F70" s="332"/>
      <c r="G70" s="334">
        <f t="shared" si="0"/>
        <v>0</v>
      </c>
      <c r="H70" s="336">
        <v>0.05</v>
      </c>
      <c r="I70" s="334">
        <f t="shared" si="1"/>
        <v>0</v>
      </c>
      <c r="J70" s="334">
        <f t="shared" si="2"/>
        <v>0</v>
      </c>
      <c r="K70" s="338" t="s">
        <v>79</v>
      </c>
      <c r="L70" s="341"/>
      <c r="M70" s="343"/>
    </row>
    <row r="71" spans="1:13">
      <c r="A71" s="429">
        <v>156942014</v>
      </c>
      <c r="B71" s="380" t="s">
        <v>432</v>
      </c>
      <c r="C71" s="382"/>
      <c r="D71" s="380">
        <v>313952015</v>
      </c>
      <c r="E71" s="338" t="s">
        <v>517</v>
      </c>
      <c r="F71" s="332"/>
      <c r="G71" s="334">
        <f t="shared" si="0"/>
        <v>0</v>
      </c>
      <c r="H71" s="336">
        <v>0.05</v>
      </c>
      <c r="I71" s="334">
        <f t="shared" si="1"/>
        <v>0</v>
      </c>
      <c r="J71" s="334">
        <f t="shared" si="2"/>
        <v>0</v>
      </c>
      <c r="K71" s="338" t="s">
        <v>79</v>
      </c>
      <c r="L71" s="341"/>
      <c r="M71" s="343"/>
    </row>
    <row r="72" spans="1:13">
      <c r="A72" s="429">
        <v>156942014</v>
      </c>
      <c r="B72" s="380" t="s">
        <v>432</v>
      </c>
      <c r="C72" s="382"/>
      <c r="D72" s="380">
        <v>313972015</v>
      </c>
      <c r="E72" s="338" t="s">
        <v>520</v>
      </c>
      <c r="F72" s="332"/>
      <c r="G72" s="334">
        <f t="shared" si="0"/>
        <v>0</v>
      </c>
      <c r="H72" s="336">
        <v>0.05</v>
      </c>
      <c r="I72" s="334">
        <f t="shared" si="1"/>
        <v>0</v>
      </c>
      <c r="J72" s="334">
        <f t="shared" si="2"/>
        <v>0</v>
      </c>
      <c r="K72" s="338" t="s">
        <v>79</v>
      </c>
      <c r="L72" s="341"/>
      <c r="M72" s="343"/>
    </row>
    <row r="73" spans="1:13">
      <c r="A73" s="429">
        <v>156942014</v>
      </c>
      <c r="B73" s="380" t="s">
        <v>432</v>
      </c>
      <c r="C73" s="382"/>
      <c r="D73" s="380">
        <v>313982015</v>
      </c>
      <c r="E73" s="338" t="s">
        <v>522</v>
      </c>
      <c r="F73" s="332"/>
      <c r="G73" s="334">
        <f t="shared" si="0"/>
        <v>0</v>
      </c>
      <c r="H73" s="336">
        <v>0.05</v>
      </c>
      <c r="I73" s="334">
        <f t="shared" si="1"/>
        <v>0</v>
      </c>
      <c r="J73" s="334">
        <f t="shared" si="2"/>
        <v>0</v>
      </c>
      <c r="K73" s="338" t="s">
        <v>79</v>
      </c>
      <c r="L73" s="341"/>
      <c r="M73" s="343"/>
    </row>
    <row r="74" spans="1:13">
      <c r="A74" s="429">
        <v>156942014</v>
      </c>
      <c r="B74" s="380" t="s">
        <v>432</v>
      </c>
      <c r="C74" s="382"/>
      <c r="D74" s="380">
        <v>313992015</v>
      </c>
      <c r="E74" s="338" t="s">
        <v>525</v>
      </c>
      <c r="F74" s="332">
        <v>74391.98</v>
      </c>
      <c r="G74" s="334">
        <f t="shared" si="0"/>
        <v>3542.4752380952377</v>
      </c>
      <c r="H74" s="336">
        <v>0.05</v>
      </c>
      <c r="I74" s="334">
        <f t="shared" si="1"/>
        <v>3542.4752380952414</v>
      </c>
      <c r="J74" s="334">
        <f t="shared" si="2"/>
        <v>3542.4752380952414</v>
      </c>
      <c r="K74" s="338" t="s">
        <v>79</v>
      </c>
      <c r="L74" s="341"/>
      <c r="M74" s="343"/>
    </row>
    <row r="75" spans="1:13">
      <c r="A75" s="429">
        <v>156942014</v>
      </c>
      <c r="B75" s="380" t="s">
        <v>432</v>
      </c>
      <c r="C75" s="382"/>
      <c r="D75" s="380">
        <v>314002015</v>
      </c>
      <c r="E75" s="338" t="s">
        <v>529</v>
      </c>
      <c r="F75" s="332"/>
      <c r="G75" s="334">
        <f t="shared" si="0"/>
        <v>0</v>
      </c>
      <c r="H75" s="336">
        <v>0.05</v>
      </c>
      <c r="I75" s="334">
        <f t="shared" si="1"/>
        <v>0</v>
      </c>
      <c r="J75" s="334">
        <f t="shared" si="2"/>
        <v>0</v>
      </c>
      <c r="K75" s="338" t="s">
        <v>79</v>
      </c>
      <c r="L75" s="341"/>
      <c r="M75" s="343"/>
    </row>
    <row r="76" spans="1:13">
      <c r="A76" s="429">
        <v>156942014</v>
      </c>
      <c r="B76" s="380" t="s">
        <v>432</v>
      </c>
      <c r="C76" s="382"/>
      <c r="D76" s="380">
        <v>314012015</v>
      </c>
      <c r="E76" s="338" t="s">
        <v>532</v>
      </c>
      <c r="F76" s="332"/>
      <c r="G76" s="334">
        <f t="shared" si="0"/>
        <v>0</v>
      </c>
      <c r="H76" s="336">
        <v>0.05</v>
      </c>
      <c r="I76" s="334">
        <f t="shared" si="1"/>
        <v>0</v>
      </c>
      <c r="J76" s="334">
        <f t="shared" si="2"/>
        <v>0</v>
      </c>
      <c r="K76" s="338" t="s">
        <v>79</v>
      </c>
      <c r="L76" s="341"/>
      <c r="M76" s="343"/>
    </row>
    <row r="77" spans="1:13">
      <c r="A77" s="434">
        <v>156942014</v>
      </c>
      <c r="B77" s="387" t="s">
        <v>432</v>
      </c>
      <c r="C77" s="388"/>
      <c r="D77" s="387">
        <v>314032015</v>
      </c>
      <c r="E77" s="361" t="s">
        <v>535</v>
      </c>
      <c r="F77" s="439"/>
      <c r="G77" s="357">
        <f t="shared" si="0"/>
        <v>0</v>
      </c>
      <c r="H77" s="359">
        <v>0.05</v>
      </c>
      <c r="I77" s="357">
        <f t="shared" si="1"/>
        <v>0</v>
      </c>
      <c r="J77" s="357">
        <f t="shared" si="2"/>
        <v>0</v>
      </c>
      <c r="K77" s="361" t="s">
        <v>79</v>
      </c>
      <c r="L77" s="363"/>
      <c r="M77" s="365"/>
    </row>
    <row r="78" spans="1:13">
      <c r="A78" s="426">
        <v>74482008</v>
      </c>
      <c r="B78" s="375" t="s">
        <v>22</v>
      </c>
      <c r="C78" s="376">
        <v>39533</v>
      </c>
      <c r="D78" s="375">
        <v>299332015</v>
      </c>
      <c r="E78" s="319" t="s">
        <v>536</v>
      </c>
      <c r="F78" s="378">
        <v>237733.26</v>
      </c>
      <c r="G78" s="315">
        <f t="shared" si="0"/>
        <v>21612.114545454548</v>
      </c>
      <c r="H78" s="317">
        <v>0.1</v>
      </c>
      <c r="I78" s="315">
        <f t="shared" si="1"/>
        <v>21612.114545454562</v>
      </c>
      <c r="J78" s="315">
        <f t="shared" si="2"/>
        <v>14220.771370909102</v>
      </c>
      <c r="K78" s="319" t="s">
        <v>79</v>
      </c>
      <c r="L78" s="452" t="s">
        <v>81</v>
      </c>
      <c r="M78" s="323"/>
    </row>
    <row r="79" spans="1:13">
      <c r="A79" s="429">
        <v>74482008</v>
      </c>
      <c r="B79" s="380" t="s">
        <v>22</v>
      </c>
      <c r="C79" s="382">
        <v>39533</v>
      </c>
      <c r="D79" s="380">
        <v>299302015</v>
      </c>
      <c r="E79" s="338" t="s">
        <v>540</v>
      </c>
      <c r="F79" s="431">
        <f>100958.68+10095.87</f>
        <v>111054.54999999999</v>
      </c>
      <c r="G79" s="395">
        <f t="shared" si="0"/>
        <v>10095.868181818179</v>
      </c>
      <c r="H79" s="397">
        <v>0.1</v>
      </c>
      <c r="I79" s="395">
        <f t="shared" si="1"/>
        <v>10095.868181818194</v>
      </c>
      <c r="J79" s="395">
        <f t="shared" si="2"/>
        <v>6643.0812636363717</v>
      </c>
      <c r="K79" s="338" t="s">
        <v>79</v>
      </c>
      <c r="L79" s="341"/>
      <c r="M79" s="343"/>
    </row>
    <row r="80" spans="1:13">
      <c r="A80" s="429">
        <v>74482008</v>
      </c>
      <c r="B80" s="380" t="s">
        <v>22</v>
      </c>
      <c r="C80" s="382">
        <v>39533</v>
      </c>
      <c r="D80" s="380">
        <v>299262015</v>
      </c>
      <c r="E80" s="338" t="s">
        <v>544</v>
      </c>
      <c r="F80" s="431">
        <f>103059.09+10305.91</f>
        <v>113365</v>
      </c>
      <c r="G80" s="395">
        <f t="shared" si="0"/>
        <v>10305.90909090909</v>
      </c>
      <c r="H80" s="397">
        <v>0.1</v>
      </c>
      <c r="I80" s="395">
        <f t="shared" si="1"/>
        <v>10305.909090909103</v>
      </c>
      <c r="J80" s="395">
        <f t="shared" si="2"/>
        <v>6781.2881818181895</v>
      </c>
      <c r="K80" s="338" t="s">
        <v>79</v>
      </c>
      <c r="L80" s="341"/>
      <c r="M80" s="343"/>
    </row>
    <row r="81" spans="1:13">
      <c r="A81" s="434">
        <v>74482008</v>
      </c>
      <c r="B81" s="387" t="s">
        <v>22</v>
      </c>
      <c r="C81" s="388">
        <v>39533</v>
      </c>
      <c r="D81" s="387">
        <v>312342015</v>
      </c>
      <c r="E81" s="361" t="s">
        <v>546</v>
      </c>
      <c r="F81" s="436">
        <f>202920.22+20292.02</f>
        <v>223212.24</v>
      </c>
      <c r="G81" s="401">
        <f t="shared" si="0"/>
        <v>20292.02181818182</v>
      </c>
      <c r="H81" s="403">
        <v>0.1</v>
      </c>
      <c r="I81" s="401">
        <f t="shared" si="1"/>
        <v>20292.02181818182</v>
      </c>
      <c r="J81" s="401">
        <f t="shared" si="2"/>
        <v>13352.150356363638</v>
      </c>
      <c r="K81" s="361" t="s">
        <v>79</v>
      </c>
      <c r="L81" s="363"/>
      <c r="M81" s="365"/>
    </row>
    <row r="82" spans="1:13">
      <c r="A82" s="426">
        <v>245992014</v>
      </c>
      <c r="B82" s="375" t="s">
        <v>432</v>
      </c>
      <c r="C82" s="376"/>
      <c r="D82" s="375">
        <v>314602015</v>
      </c>
      <c r="E82" s="319" t="s">
        <v>550</v>
      </c>
      <c r="F82" s="655">
        <v>1146275.05</v>
      </c>
      <c r="G82" s="315">
        <f t="shared" si="0"/>
        <v>54584.526190476194</v>
      </c>
      <c r="H82" s="317">
        <v>0.05</v>
      </c>
      <c r="I82" s="315">
        <f t="shared" si="1"/>
        <v>54584.526190476259</v>
      </c>
      <c r="J82" s="315">
        <f t="shared" si="2"/>
        <v>54584.526190476259</v>
      </c>
      <c r="K82" s="319" t="s">
        <v>79</v>
      </c>
      <c r="L82" s="320"/>
      <c r="M82" s="323"/>
    </row>
    <row r="83" spans="1:13">
      <c r="A83" s="429">
        <v>245992014</v>
      </c>
      <c r="B83" s="380" t="s">
        <v>432</v>
      </c>
      <c r="C83" s="382"/>
      <c r="D83" s="380">
        <v>314622015</v>
      </c>
      <c r="E83" s="338" t="s">
        <v>556</v>
      </c>
      <c r="F83" s="656"/>
      <c r="G83" s="395">
        <f t="shared" si="0"/>
        <v>0</v>
      </c>
      <c r="H83" s="397">
        <v>0.05</v>
      </c>
      <c r="I83" s="395">
        <f t="shared" si="1"/>
        <v>0</v>
      </c>
      <c r="J83" s="395">
        <f t="shared" si="2"/>
        <v>0</v>
      </c>
      <c r="K83" s="338" t="s">
        <v>79</v>
      </c>
      <c r="L83" s="341"/>
      <c r="M83" s="343"/>
    </row>
    <row r="84" spans="1:13">
      <c r="A84" s="429">
        <v>245992014</v>
      </c>
      <c r="B84" s="380" t="s">
        <v>432</v>
      </c>
      <c r="C84" s="382"/>
      <c r="D84" s="380">
        <v>314972015</v>
      </c>
      <c r="E84" s="338" t="s">
        <v>557</v>
      </c>
      <c r="F84" s="656"/>
      <c r="G84" s="395">
        <f t="shared" si="0"/>
        <v>0</v>
      </c>
      <c r="H84" s="397">
        <v>0.05</v>
      </c>
      <c r="I84" s="395">
        <f t="shared" si="1"/>
        <v>0</v>
      </c>
      <c r="J84" s="395">
        <f t="shared" si="2"/>
        <v>0</v>
      </c>
      <c r="K84" s="338" t="s">
        <v>79</v>
      </c>
      <c r="L84" s="341"/>
      <c r="M84" s="343"/>
    </row>
    <row r="85" spans="1:13">
      <c r="A85" s="429">
        <v>245992014</v>
      </c>
      <c r="B85" s="380" t="s">
        <v>432</v>
      </c>
      <c r="C85" s="382"/>
      <c r="D85" s="380">
        <v>314932015</v>
      </c>
      <c r="E85" s="338" t="s">
        <v>560</v>
      </c>
      <c r="F85" s="656"/>
      <c r="G85" s="395">
        <f t="shared" si="0"/>
        <v>0</v>
      </c>
      <c r="H85" s="397">
        <v>0.05</v>
      </c>
      <c r="I85" s="395">
        <f t="shared" si="1"/>
        <v>0</v>
      </c>
      <c r="J85" s="395">
        <f t="shared" si="2"/>
        <v>0</v>
      </c>
      <c r="K85" s="338" t="s">
        <v>79</v>
      </c>
      <c r="L85" s="341"/>
      <c r="M85" s="343"/>
    </row>
    <row r="86" spans="1:13">
      <c r="A86" s="429">
        <v>245992014</v>
      </c>
      <c r="B86" s="380" t="s">
        <v>432</v>
      </c>
      <c r="C86" s="382"/>
      <c r="D86" s="380">
        <v>314482015</v>
      </c>
      <c r="E86" s="338" t="s">
        <v>563</v>
      </c>
      <c r="F86" s="656"/>
      <c r="G86" s="395">
        <f t="shared" si="0"/>
        <v>0</v>
      </c>
      <c r="H86" s="397">
        <v>0.05</v>
      </c>
      <c r="I86" s="395">
        <f t="shared" si="1"/>
        <v>0</v>
      </c>
      <c r="J86" s="395">
        <f t="shared" si="2"/>
        <v>0</v>
      </c>
      <c r="K86" s="338" t="s">
        <v>79</v>
      </c>
      <c r="L86" s="341"/>
      <c r="M86" s="343"/>
    </row>
    <row r="87" spans="1:13">
      <c r="A87" s="429">
        <v>245992014</v>
      </c>
      <c r="B87" s="380" t="s">
        <v>432</v>
      </c>
      <c r="C87" s="382"/>
      <c r="D87" s="380">
        <v>314782015</v>
      </c>
      <c r="E87" s="338" t="s">
        <v>567</v>
      </c>
      <c r="F87" s="656"/>
      <c r="G87" s="395">
        <f t="shared" si="0"/>
        <v>0</v>
      </c>
      <c r="H87" s="397">
        <v>0.05</v>
      </c>
      <c r="I87" s="395">
        <f t="shared" si="1"/>
        <v>0</v>
      </c>
      <c r="J87" s="395">
        <f t="shared" si="2"/>
        <v>0</v>
      </c>
      <c r="K87" s="338" t="s">
        <v>79</v>
      </c>
      <c r="L87" s="341"/>
      <c r="M87" s="343"/>
    </row>
    <row r="88" spans="1:13">
      <c r="A88" s="429">
        <v>245992014</v>
      </c>
      <c r="B88" s="380" t="s">
        <v>432</v>
      </c>
      <c r="C88" s="382"/>
      <c r="D88" s="380">
        <v>314562015</v>
      </c>
      <c r="E88" s="338" t="s">
        <v>570</v>
      </c>
      <c r="F88" s="656"/>
      <c r="G88" s="395">
        <f t="shared" si="0"/>
        <v>0</v>
      </c>
      <c r="H88" s="397">
        <v>0.05</v>
      </c>
      <c r="I88" s="395">
        <f t="shared" si="1"/>
        <v>0</v>
      </c>
      <c r="J88" s="395">
        <f t="shared" si="2"/>
        <v>0</v>
      </c>
      <c r="K88" s="338" t="s">
        <v>79</v>
      </c>
      <c r="L88" s="341"/>
      <c r="M88" s="343"/>
    </row>
    <row r="89" spans="1:13">
      <c r="A89" s="429">
        <v>245992014</v>
      </c>
      <c r="B89" s="380" t="s">
        <v>432</v>
      </c>
      <c r="C89" s="382"/>
      <c r="D89" s="380">
        <v>314522015</v>
      </c>
      <c r="E89" s="338" t="s">
        <v>573</v>
      </c>
      <c r="F89" s="656"/>
      <c r="G89" s="395">
        <f t="shared" si="0"/>
        <v>0</v>
      </c>
      <c r="H89" s="397">
        <v>0.05</v>
      </c>
      <c r="I89" s="395">
        <f t="shared" si="1"/>
        <v>0</v>
      </c>
      <c r="J89" s="395">
        <f t="shared" si="2"/>
        <v>0</v>
      </c>
      <c r="K89" s="338" t="s">
        <v>79</v>
      </c>
      <c r="L89" s="341"/>
      <c r="M89" s="343"/>
    </row>
    <row r="90" spans="1:13">
      <c r="A90" s="429">
        <v>245992014</v>
      </c>
      <c r="B90" s="380" t="s">
        <v>432</v>
      </c>
      <c r="C90" s="382"/>
      <c r="D90" s="380">
        <v>314552015</v>
      </c>
      <c r="E90" s="338" t="s">
        <v>575</v>
      </c>
      <c r="F90" s="656"/>
      <c r="G90" s="395">
        <f t="shared" si="0"/>
        <v>0</v>
      </c>
      <c r="H90" s="397">
        <v>0.05</v>
      </c>
      <c r="I90" s="395">
        <f t="shared" si="1"/>
        <v>0</v>
      </c>
      <c r="J90" s="395">
        <f t="shared" si="2"/>
        <v>0</v>
      </c>
      <c r="K90" s="338" t="s">
        <v>577</v>
      </c>
      <c r="L90" s="341"/>
      <c r="M90" s="343"/>
    </row>
    <row r="91" spans="1:13">
      <c r="A91" s="429">
        <v>245992014</v>
      </c>
      <c r="B91" s="380" t="s">
        <v>432</v>
      </c>
      <c r="C91" s="382"/>
      <c r="D91" s="380">
        <v>314442015</v>
      </c>
      <c r="E91" s="338" t="s">
        <v>579</v>
      </c>
      <c r="F91" s="656"/>
      <c r="G91" s="395">
        <f t="shared" si="0"/>
        <v>0</v>
      </c>
      <c r="H91" s="397">
        <v>0.05</v>
      </c>
      <c r="I91" s="395">
        <f t="shared" si="1"/>
        <v>0</v>
      </c>
      <c r="J91" s="395">
        <f t="shared" si="2"/>
        <v>0</v>
      </c>
      <c r="K91" s="338" t="s">
        <v>79</v>
      </c>
      <c r="L91" s="341"/>
      <c r="M91" s="343"/>
    </row>
    <row r="92" spans="1:13">
      <c r="A92" s="429">
        <v>245992014</v>
      </c>
      <c r="B92" s="380" t="s">
        <v>432</v>
      </c>
      <c r="C92" s="382"/>
      <c r="D92" s="380">
        <v>314492015</v>
      </c>
      <c r="E92" s="338" t="s">
        <v>582</v>
      </c>
      <c r="F92" s="656"/>
      <c r="G92" s="395">
        <f t="shared" si="0"/>
        <v>0</v>
      </c>
      <c r="H92" s="397">
        <v>0.05</v>
      </c>
      <c r="I92" s="395">
        <f t="shared" si="1"/>
        <v>0</v>
      </c>
      <c r="J92" s="395">
        <f t="shared" si="2"/>
        <v>0</v>
      </c>
      <c r="K92" s="338" t="s">
        <v>79</v>
      </c>
      <c r="L92" s="341"/>
      <c r="M92" s="343"/>
    </row>
    <row r="93" spans="1:13">
      <c r="A93" s="429">
        <v>245992014</v>
      </c>
      <c r="B93" s="380" t="s">
        <v>432</v>
      </c>
      <c r="C93" s="382"/>
      <c r="D93" s="380">
        <v>314822015</v>
      </c>
      <c r="E93" s="338" t="s">
        <v>583</v>
      </c>
      <c r="F93" s="656"/>
      <c r="G93" s="395">
        <f t="shared" si="0"/>
        <v>0</v>
      </c>
      <c r="H93" s="397">
        <v>0.05</v>
      </c>
      <c r="I93" s="395">
        <f t="shared" si="1"/>
        <v>0</v>
      </c>
      <c r="J93" s="395">
        <f t="shared" si="2"/>
        <v>0</v>
      </c>
      <c r="K93" s="338" t="s">
        <v>79</v>
      </c>
      <c r="L93" s="341"/>
      <c r="M93" s="343"/>
    </row>
    <row r="94" spans="1:13">
      <c r="A94" s="429">
        <v>245992014</v>
      </c>
      <c r="B94" s="380" t="s">
        <v>432</v>
      </c>
      <c r="C94" s="382"/>
      <c r="D94" s="380">
        <v>314662015</v>
      </c>
      <c r="E94" s="338" t="s">
        <v>585</v>
      </c>
      <c r="F94" s="656"/>
      <c r="G94" s="395">
        <f t="shared" si="0"/>
        <v>0</v>
      </c>
      <c r="H94" s="397">
        <v>0.05</v>
      </c>
      <c r="I94" s="395">
        <f t="shared" si="1"/>
        <v>0</v>
      </c>
      <c r="J94" s="395">
        <f t="shared" si="2"/>
        <v>0</v>
      </c>
      <c r="K94" s="338" t="s">
        <v>79</v>
      </c>
      <c r="L94" s="341"/>
      <c r="M94" s="343"/>
    </row>
    <row r="95" spans="1:13">
      <c r="A95" s="429">
        <v>245992014</v>
      </c>
      <c r="B95" s="380" t="s">
        <v>432</v>
      </c>
      <c r="C95" s="382"/>
      <c r="D95" s="380">
        <v>314862015</v>
      </c>
      <c r="E95" s="338" t="s">
        <v>586</v>
      </c>
      <c r="F95" s="656"/>
      <c r="G95" s="395">
        <f t="shared" si="0"/>
        <v>0</v>
      </c>
      <c r="H95" s="397">
        <v>0.05</v>
      </c>
      <c r="I95" s="395">
        <f t="shared" si="1"/>
        <v>0</v>
      </c>
      <c r="J95" s="395">
        <f t="shared" si="2"/>
        <v>0</v>
      </c>
      <c r="K95" s="338" t="s">
        <v>79</v>
      </c>
      <c r="L95" s="341"/>
      <c r="M95" s="343"/>
    </row>
    <row r="96" spans="1:13">
      <c r="A96" s="434">
        <v>245992014</v>
      </c>
      <c r="B96" s="387" t="s">
        <v>432</v>
      </c>
      <c r="C96" s="388"/>
      <c r="D96" s="387">
        <v>314942015</v>
      </c>
      <c r="E96" s="361" t="s">
        <v>588</v>
      </c>
      <c r="F96" s="657"/>
      <c r="G96" s="401">
        <f t="shared" si="0"/>
        <v>0</v>
      </c>
      <c r="H96" s="403">
        <v>0.05</v>
      </c>
      <c r="I96" s="401">
        <f t="shared" si="1"/>
        <v>0</v>
      </c>
      <c r="J96" s="401">
        <f t="shared" si="2"/>
        <v>0</v>
      </c>
      <c r="K96" s="361" t="s">
        <v>79</v>
      </c>
      <c r="L96" s="363"/>
      <c r="M96" s="365"/>
    </row>
    <row r="97" spans="1:13">
      <c r="A97" s="426">
        <v>322652014</v>
      </c>
      <c r="B97" s="375" t="s">
        <v>432</v>
      </c>
      <c r="C97" s="376"/>
      <c r="D97" s="375">
        <v>311842015</v>
      </c>
      <c r="E97" s="319" t="s">
        <v>590</v>
      </c>
      <c r="F97" s="655">
        <v>2876526.91</v>
      </c>
      <c r="G97" s="315">
        <f t="shared" si="0"/>
        <v>136977.47190476191</v>
      </c>
      <c r="H97" s="317">
        <v>0.05</v>
      </c>
      <c r="I97" s="315">
        <f t="shared" si="1"/>
        <v>136977.47190476209</v>
      </c>
      <c r="J97" s="315">
        <f t="shared" si="2"/>
        <v>136977.47190476209</v>
      </c>
      <c r="K97" s="319" t="s">
        <v>79</v>
      </c>
      <c r="L97" s="320"/>
      <c r="M97" s="323"/>
    </row>
    <row r="98" spans="1:13">
      <c r="A98" s="429">
        <v>322652014</v>
      </c>
      <c r="B98" s="380" t="s">
        <v>432</v>
      </c>
      <c r="C98" s="382"/>
      <c r="D98" s="380">
        <v>311792015</v>
      </c>
      <c r="E98" s="338" t="s">
        <v>593</v>
      </c>
      <c r="F98" s="656"/>
      <c r="G98" s="395">
        <f t="shared" si="0"/>
        <v>0</v>
      </c>
      <c r="H98" s="397">
        <v>0.05</v>
      </c>
      <c r="I98" s="395">
        <f t="shared" si="1"/>
        <v>0</v>
      </c>
      <c r="J98" s="395">
        <f t="shared" si="2"/>
        <v>0</v>
      </c>
      <c r="K98" s="338" t="s">
        <v>79</v>
      </c>
      <c r="L98" s="341"/>
      <c r="M98" s="343"/>
    </row>
    <row r="99" spans="1:13">
      <c r="A99" s="429">
        <v>322652014</v>
      </c>
      <c r="B99" s="380" t="s">
        <v>432</v>
      </c>
      <c r="C99" s="382"/>
      <c r="D99" s="380">
        <v>311762015</v>
      </c>
      <c r="E99" s="338" t="s">
        <v>595</v>
      </c>
      <c r="F99" s="656"/>
      <c r="G99" s="395">
        <f t="shared" si="0"/>
        <v>0</v>
      </c>
      <c r="H99" s="397">
        <v>0.05</v>
      </c>
      <c r="I99" s="395">
        <f t="shared" si="1"/>
        <v>0</v>
      </c>
      <c r="J99" s="395">
        <f t="shared" si="2"/>
        <v>0</v>
      </c>
      <c r="K99" s="338" t="s">
        <v>79</v>
      </c>
      <c r="L99" s="341"/>
      <c r="M99" s="343"/>
    </row>
    <row r="100" spans="1:13">
      <c r="A100" s="429">
        <v>322652014</v>
      </c>
      <c r="B100" s="380" t="s">
        <v>432</v>
      </c>
      <c r="C100" s="382"/>
      <c r="D100" s="380">
        <v>312032015</v>
      </c>
      <c r="E100" s="338" t="s">
        <v>596</v>
      </c>
      <c r="F100" s="656"/>
      <c r="G100" s="395">
        <f t="shared" si="0"/>
        <v>0</v>
      </c>
      <c r="H100" s="397">
        <v>0.05</v>
      </c>
      <c r="I100" s="395">
        <f t="shared" si="1"/>
        <v>0</v>
      </c>
      <c r="J100" s="395">
        <f t="shared" si="2"/>
        <v>0</v>
      </c>
      <c r="K100" s="338" t="s">
        <v>79</v>
      </c>
      <c r="L100" s="341"/>
      <c r="M100" s="343"/>
    </row>
    <row r="101" spans="1:13">
      <c r="A101" s="429">
        <v>322652014</v>
      </c>
      <c r="B101" s="380" t="s">
        <v>432</v>
      </c>
      <c r="C101" s="382"/>
      <c r="D101" s="380">
        <v>312202015</v>
      </c>
      <c r="E101" s="338" t="s">
        <v>598</v>
      </c>
      <c r="F101" s="656"/>
      <c r="G101" s="395">
        <f t="shared" si="0"/>
        <v>0</v>
      </c>
      <c r="H101" s="397">
        <v>0.05</v>
      </c>
      <c r="I101" s="395">
        <f t="shared" si="1"/>
        <v>0</v>
      </c>
      <c r="J101" s="395">
        <f t="shared" si="2"/>
        <v>0</v>
      </c>
      <c r="K101" s="338" t="s">
        <v>79</v>
      </c>
      <c r="L101" s="341"/>
      <c r="M101" s="343"/>
    </row>
    <row r="102" spans="1:13">
      <c r="A102" s="429">
        <v>322652014</v>
      </c>
      <c r="B102" s="380" t="s">
        <v>432</v>
      </c>
      <c r="C102" s="382"/>
      <c r="D102" s="380">
        <v>312132015</v>
      </c>
      <c r="E102" s="338" t="s">
        <v>599</v>
      </c>
      <c r="F102" s="656"/>
      <c r="G102" s="395">
        <f t="shared" si="0"/>
        <v>0</v>
      </c>
      <c r="H102" s="397">
        <v>0.05</v>
      </c>
      <c r="I102" s="395">
        <f t="shared" si="1"/>
        <v>0</v>
      </c>
      <c r="J102" s="395">
        <f t="shared" si="2"/>
        <v>0</v>
      </c>
      <c r="K102" s="338" t="s">
        <v>79</v>
      </c>
      <c r="L102" s="341"/>
      <c r="M102" s="343"/>
    </row>
    <row r="103" spans="1:13">
      <c r="A103" s="429">
        <v>322652014</v>
      </c>
      <c r="B103" s="380" t="s">
        <v>432</v>
      </c>
      <c r="C103" s="382"/>
      <c r="D103" s="380">
        <v>312172015</v>
      </c>
      <c r="E103" s="338" t="s">
        <v>601</v>
      </c>
      <c r="F103" s="656"/>
      <c r="G103" s="395">
        <f t="shared" si="0"/>
        <v>0</v>
      </c>
      <c r="H103" s="397">
        <v>0.05</v>
      </c>
      <c r="I103" s="395">
        <f t="shared" si="1"/>
        <v>0</v>
      </c>
      <c r="J103" s="395">
        <f t="shared" si="2"/>
        <v>0</v>
      </c>
      <c r="K103" s="338" t="s">
        <v>79</v>
      </c>
      <c r="L103" s="341"/>
      <c r="M103" s="343"/>
    </row>
    <row r="104" spans="1:13">
      <c r="A104" s="429">
        <v>322652014</v>
      </c>
      <c r="B104" s="380" t="s">
        <v>432</v>
      </c>
      <c r="C104" s="382"/>
      <c r="D104" s="380">
        <v>312262015</v>
      </c>
      <c r="E104" s="338" t="s">
        <v>603</v>
      </c>
      <c r="F104" s="656"/>
      <c r="G104" s="395">
        <f t="shared" si="0"/>
        <v>0</v>
      </c>
      <c r="H104" s="397">
        <v>0.05</v>
      </c>
      <c r="I104" s="395">
        <f t="shared" si="1"/>
        <v>0</v>
      </c>
      <c r="J104" s="395">
        <f t="shared" si="2"/>
        <v>0</v>
      </c>
      <c r="K104" s="338" t="s">
        <v>79</v>
      </c>
      <c r="L104" s="341"/>
      <c r="M104" s="343"/>
    </row>
    <row r="105" spans="1:13">
      <c r="A105" s="429">
        <v>322652014</v>
      </c>
      <c r="B105" s="380" t="s">
        <v>432</v>
      </c>
      <c r="C105" s="382"/>
      <c r="D105" s="380">
        <v>312292015</v>
      </c>
      <c r="E105" s="338" t="s">
        <v>604</v>
      </c>
      <c r="F105" s="656"/>
      <c r="G105" s="395">
        <f t="shared" si="0"/>
        <v>0</v>
      </c>
      <c r="H105" s="397">
        <v>0.05</v>
      </c>
      <c r="I105" s="395">
        <f t="shared" si="1"/>
        <v>0</v>
      </c>
      <c r="J105" s="395">
        <f t="shared" si="2"/>
        <v>0</v>
      </c>
      <c r="K105" s="338" t="s">
        <v>79</v>
      </c>
      <c r="L105" s="341"/>
      <c r="M105" s="343"/>
    </row>
    <row r="106" spans="1:13">
      <c r="A106" s="429">
        <v>322652014</v>
      </c>
      <c r="B106" s="380" t="s">
        <v>432</v>
      </c>
      <c r="C106" s="382"/>
      <c r="D106" s="380">
        <v>312472015</v>
      </c>
      <c r="E106" s="338" t="s">
        <v>605</v>
      </c>
      <c r="F106" s="656"/>
      <c r="G106" s="395">
        <f t="shared" si="0"/>
        <v>0</v>
      </c>
      <c r="H106" s="397">
        <v>0.05</v>
      </c>
      <c r="I106" s="395">
        <f t="shared" si="1"/>
        <v>0</v>
      </c>
      <c r="J106" s="395">
        <f t="shared" si="2"/>
        <v>0</v>
      </c>
      <c r="K106" s="338" t="s">
        <v>79</v>
      </c>
      <c r="L106" s="341"/>
      <c r="M106" s="343"/>
    </row>
    <row r="107" spans="1:13">
      <c r="A107" s="429">
        <v>322652014</v>
      </c>
      <c r="B107" s="380" t="s">
        <v>432</v>
      </c>
      <c r="C107" s="382"/>
      <c r="D107" s="380">
        <v>312412015</v>
      </c>
      <c r="E107" s="338" t="s">
        <v>606</v>
      </c>
      <c r="F107" s="656"/>
      <c r="G107" s="395">
        <f t="shared" si="0"/>
        <v>0</v>
      </c>
      <c r="H107" s="397">
        <v>0.05</v>
      </c>
      <c r="I107" s="395">
        <f t="shared" si="1"/>
        <v>0</v>
      </c>
      <c r="J107" s="395">
        <f t="shared" si="2"/>
        <v>0</v>
      </c>
      <c r="K107" s="338" t="s">
        <v>79</v>
      </c>
      <c r="L107" s="341"/>
      <c r="M107" s="343"/>
    </row>
    <row r="108" spans="1:13">
      <c r="A108" s="429">
        <v>322652014</v>
      </c>
      <c r="B108" s="380" t="s">
        <v>432</v>
      </c>
      <c r="C108" s="382"/>
      <c r="D108" s="380">
        <v>312402015</v>
      </c>
      <c r="E108" s="338" t="s">
        <v>608</v>
      </c>
      <c r="F108" s="656"/>
      <c r="G108" s="395">
        <f t="shared" si="0"/>
        <v>0</v>
      </c>
      <c r="H108" s="397">
        <v>0.05</v>
      </c>
      <c r="I108" s="395">
        <f t="shared" si="1"/>
        <v>0</v>
      </c>
      <c r="J108" s="395">
        <f t="shared" si="2"/>
        <v>0</v>
      </c>
      <c r="K108" s="338" t="s">
        <v>79</v>
      </c>
      <c r="L108" s="341"/>
      <c r="M108" s="343"/>
    </row>
    <row r="109" spans="1:13">
      <c r="A109" s="429">
        <v>322652014</v>
      </c>
      <c r="B109" s="380" t="s">
        <v>432</v>
      </c>
      <c r="C109" s="382"/>
      <c r="D109" s="380">
        <v>312352015</v>
      </c>
      <c r="E109" s="338" t="s">
        <v>609</v>
      </c>
      <c r="F109" s="656"/>
      <c r="G109" s="395">
        <f t="shared" si="0"/>
        <v>0</v>
      </c>
      <c r="H109" s="397">
        <v>0.05</v>
      </c>
      <c r="I109" s="395">
        <f t="shared" si="1"/>
        <v>0</v>
      </c>
      <c r="J109" s="395">
        <f t="shared" si="2"/>
        <v>0</v>
      </c>
      <c r="K109" s="338" t="s">
        <v>79</v>
      </c>
      <c r="L109" s="341"/>
      <c r="M109" s="343"/>
    </row>
    <row r="110" spans="1:13">
      <c r="A110" s="429">
        <v>322652014</v>
      </c>
      <c r="B110" s="380" t="s">
        <v>432</v>
      </c>
      <c r="C110" s="382"/>
      <c r="D110" s="380">
        <v>312322015</v>
      </c>
      <c r="E110" s="338" t="s">
        <v>610</v>
      </c>
      <c r="F110" s="656"/>
      <c r="G110" s="395">
        <f t="shared" si="0"/>
        <v>0</v>
      </c>
      <c r="H110" s="397">
        <v>0.05</v>
      </c>
      <c r="I110" s="395">
        <f t="shared" si="1"/>
        <v>0</v>
      </c>
      <c r="J110" s="395">
        <f t="shared" si="2"/>
        <v>0</v>
      </c>
      <c r="K110" s="338" t="s">
        <v>79</v>
      </c>
      <c r="L110" s="341"/>
      <c r="M110" s="343"/>
    </row>
    <row r="111" spans="1:13">
      <c r="A111" s="434">
        <v>322652014</v>
      </c>
      <c r="B111" s="387" t="s">
        <v>432</v>
      </c>
      <c r="C111" s="388"/>
      <c r="D111" s="387">
        <v>312532015</v>
      </c>
      <c r="E111" s="361" t="s">
        <v>612</v>
      </c>
      <c r="F111" s="657"/>
      <c r="G111" s="401">
        <f t="shared" si="0"/>
        <v>0</v>
      </c>
      <c r="H111" s="403">
        <v>0.05</v>
      </c>
      <c r="I111" s="401">
        <f t="shared" si="1"/>
        <v>0</v>
      </c>
      <c r="J111" s="401">
        <f t="shared" si="2"/>
        <v>0</v>
      </c>
      <c r="K111" s="361" t="s">
        <v>79</v>
      </c>
      <c r="L111" s="363"/>
      <c r="M111" s="365"/>
    </row>
    <row r="112" spans="1:13">
      <c r="A112" s="371">
        <v>132182000</v>
      </c>
      <c r="B112" s="274"/>
      <c r="C112" s="275"/>
      <c r="D112" s="274">
        <v>303752015</v>
      </c>
      <c r="E112" s="293" t="s">
        <v>614</v>
      </c>
      <c r="F112" s="373">
        <v>63525.760000000002</v>
      </c>
      <c r="G112" s="283">
        <f t="shared" si="0"/>
        <v>6352.5760000000009</v>
      </c>
      <c r="H112" s="286"/>
      <c r="I112" s="283">
        <f t="shared" si="1"/>
        <v>0</v>
      </c>
      <c r="J112" s="283">
        <f t="shared" si="2"/>
        <v>0</v>
      </c>
      <c r="K112" s="293" t="s">
        <v>79</v>
      </c>
      <c r="L112" s="295"/>
      <c r="M112" s="297"/>
    </row>
    <row r="113" spans="1:13">
      <c r="A113" s="426">
        <v>378672009</v>
      </c>
      <c r="B113" s="375"/>
      <c r="C113" s="376"/>
      <c r="D113" s="375">
        <v>302982015</v>
      </c>
      <c r="E113" s="319" t="s">
        <v>615</v>
      </c>
      <c r="F113" s="378">
        <v>33847.480000000003</v>
      </c>
      <c r="G113" s="315">
        <f t="shared" si="0"/>
        <v>3384.7480000000005</v>
      </c>
      <c r="H113" s="317"/>
      <c r="I113" s="315">
        <f t="shared" si="1"/>
        <v>0</v>
      </c>
      <c r="J113" s="315">
        <f t="shared" si="2"/>
        <v>0</v>
      </c>
      <c r="K113" s="319" t="s">
        <v>79</v>
      </c>
      <c r="L113" s="320"/>
      <c r="M113" s="323"/>
    </row>
    <row r="114" spans="1:13">
      <c r="A114" s="429">
        <v>378672009</v>
      </c>
      <c r="B114" s="380"/>
      <c r="C114" s="382"/>
      <c r="D114" s="380">
        <v>303222015</v>
      </c>
      <c r="E114" s="338" t="s">
        <v>617</v>
      </c>
      <c r="F114" s="431">
        <v>54525.18</v>
      </c>
      <c r="G114" s="395">
        <f t="shared" si="0"/>
        <v>5452.518</v>
      </c>
      <c r="H114" s="397"/>
      <c r="I114" s="395">
        <f t="shared" si="1"/>
        <v>0</v>
      </c>
      <c r="J114" s="395">
        <f t="shared" si="2"/>
        <v>0</v>
      </c>
      <c r="K114" s="338" t="s">
        <v>79</v>
      </c>
      <c r="L114" s="341"/>
      <c r="M114" s="343"/>
    </row>
    <row r="115" spans="1:13">
      <c r="A115" s="429">
        <v>378672009</v>
      </c>
      <c r="B115" s="380"/>
      <c r="C115" s="382"/>
      <c r="D115" s="380">
        <v>303012015</v>
      </c>
      <c r="E115" s="338" t="s">
        <v>619</v>
      </c>
      <c r="F115" s="431">
        <v>50643.42</v>
      </c>
      <c r="G115" s="395">
        <f t="shared" si="0"/>
        <v>5064.3420000000006</v>
      </c>
      <c r="H115" s="397"/>
      <c r="I115" s="395">
        <f t="shared" si="1"/>
        <v>0</v>
      </c>
      <c r="J115" s="395">
        <f t="shared" si="2"/>
        <v>0</v>
      </c>
      <c r="K115" s="338" t="s">
        <v>79</v>
      </c>
      <c r="L115" s="341"/>
      <c r="M115" s="343"/>
    </row>
    <row r="116" spans="1:13">
      <c r="A116" s="434">
        <v>378672009</v>
      </c>
      <c r="B116" s="387"/>
      <c r="C116" s="388"/>
      <c r="D116" s="387">
        <v>303002015</v>
      </c>
      <c r="E116" s="361" t="s">
        <v>620</v>
      </c>
      <c r="F116" s="436">
        <v>43750.47</v>
      </c>
      <c r="G116" s="401">
        <f t="shared" si="0"/>
        <v>4375.0470000000005</v>
      </c>
      <c r="H116" s="403"/>
      <c r="I116" s="401">
        <f t="shared" si="1"/>
        <v>0</v>
      </c>
      <c r="J116" s="401">
        <f t="shared" si="2"/>
        <v>0</v>
      </c>
      <c r="K116" s="361" t="s">
        <v>79</v>
      </c>
      <c r="L116" s="363"/>
      <c r="M116" s="365"/>
    </row>
    <row r="117" spans="1:13">
      <c r="A117" s="426">
        <v>189552009</v>
      </c>
      <c r="B117" s="375"/>
      <c r="C117" s="376"/>
      <c r="D117" s="375">
        <v>314842015</v>
      </c>
      <c r="E117" s="319" t="s">
        <v>622</v>
      </c>
      <c r="F117" s="378">
        <v>67387.39</v>
      </c>
      <c r="G117" s="315">
        <f t="shared" si="0"/>
        <v>6738.7390000000005</v>
      </c>
      <c r="H117" s="317"/>
      <c r="I117" s="315">
        <f t="shared" si="1"/>
        <v>0</v>
      </c>
      <c r="J117" s="315">
        <f t="shared" si="2"/>
        <v>0</v>
      </c>
      <c r="K117" s="319" t="s">
        <v>79</v>
      </c>
      <c r="L117" s="320"/>
      <c r="M117" s="323"/>
    </row>
    <row r="118" spans="1:13">
      <c r="A118" s="429">
        <v>189552009</v>
      </c>
      <c r="B118" s="327"/>
      <c r="C118" s="328"/>
      <c r="D118" s="327"/>
      <c r="E118" s="338" t="s">
        <v>623</v>
      </c>
      <c r="F118" s="431">
        <v>111956.52</v>
      </c>
      <c r="G118" s="395">
        <f t="shared" si="0"/>
        <v>11195.652000000002</v>
      </c>
      <c r="H118" s="397"/>
      <c r="I118" s="395">
        <f t="shared" si="1"/>
        <v>0</v>
      </c>
      <c r="J118" s="395">
        <f t="shared" si="2"/>
        <v>0</v>
      </c>
      <c r="K118" s="338" t="s">
        <v>626</v>
      </c>
      <c r="L118" s="341"/>
      <c r="M118" s="343"/>
    </row>
    <row r="119" spans="1:13">
      <c r="A119" s="429">
        <v>189552009</v>
      </c>
      <c r="B119" s="380"/>
      <c r="C119" s="382"/>
      <c r="D119" s="380">
        <v>314772015</v>
      </c>
      <c r="E119" s="338" t="s">
        <v>627</v>
      </c>
      <c r="F119" s="431">
        <v>56878.45</v>
      </c>
      <c r="G119" s="395">
        <f t="shared" si="0"/>
        <v>5687.8450000000003</v>
      </c>
      <c r="H119" s="397"/>
      <c r="I119" s="395">
        <f t="shared" si="1"/>
        <v>0</v>
      </c>
      <c r="J119" s="395">
        <f t="shared" si="2"/>
        <v>0</v>
      </c>
      <c r="K119" s="338" t="s">
        <v>79</v>
      </c>
      <c r="L119" s="341"/>
      <c r="M119" s="343"/>
    </row>
    <row r="120" spans="1:13">
      <c r="A120" s="434">
        <v>189552009</v>
      </c>
      <c r="B120" s="387"/>
      <c r="C120" s="388"/>
      <c r="D120" s="387">
        <v>314802015</v>
      </c>
      <c r="E120" s="361" t="s">
        <v>629</v>
      </c>
      <c r="F120" s="436">
        <v>92100.32</v>
      </c>
      <c r="G120" s="401">
        <f t="shared" si="0"/>
        <v>9210.0320000000011</v>
      </c>
      <c r="H120" s="403"/>
      <c r="I120" s="401">
        <f t="shared" si="1"/>
        <v>0</v>
      </c>
      <c r="J120" s="401">
        <f t="shared" si="2"/>
        <v>0</v>
      </c>
      <c r="K120" s="361" t="s">
        <v>79</v>
      </c>
      <c r="L120" s="363"/>
      <c r="M120" s="365"/>
    </row>
    <row r="121" spans="1:13">
      <c r="A121" s="426">
        <v>183982008</v>
      </c>
      <c r="B121" s="375"/>
      <c r="C121" s="376"/>
      <c r="D121" s="375">
        <v>315492015</v>
      </c>
      <c r="E121" s="319" t="s">
        <v>630</v>
      </c>
      <c r="F121" s="378">
        <v>23176.49</v>
      </c>
      <c r="G121" s="315">
        <f t="shared" si="0"/>
        <v>2317.6490000000003</v>
      </c>
      <c r="H121" s="317"/>
      <c r="I121" s="315">
        <f t="shared" si="1"/>
        <v>0</v>
      </c>
      <c r="J121" s="315">
        <f t="shared" si="2"/>
        <v>0</v>
      </c>
      <c r="K121" s="319" t="s">
        <v>79</v>
      </c>
      <c r="L121" s="320"/>
      <c r="M121" s="323"/>
    </row>
    <row r="122" spans="1:13">
      <c r="A122" s="429">
        <v>183982008</v>
      </c>
      <c r="B122" s="327"/>
      <c r="C122" s="328"/>
      <c r="D122" s="327"/>
      <c r="E122" s="338" t="s">
        <v>631</v>
      </c>
      <c r="F122" s="431">
        <v>60867.27</v>
      </c>
      <c r="G122" s="395">
        <f t="shared" si="0"/>
        <v>6086.7269999999999</v>
      </c>
      <c r="H122" s="397"/>
      <c r="I122" s="395">
        <f t="shared" si="1"/>
        <v>0</v>
      </c>
      <c r="J122" s="395">
        <f t="shared" si="2"/>
        <v>0</v>
      </c>
      <c r="K122" s="338" t="s">
        <v>626</v>
      </c>
      <c r="L122" s="341"/>
      <c r="M122" s="343"/>
    </row>
    <row r="123" spans="1:13">
      <c r="A123" s="434">
        <v>183982008</v>
      </c>
      <c r="B123" s="350"/>
      <c r="C123" s="352"/>
      <c r="D123" s="350"/>
      <c r="E123" s="361" t="s">
        <v>633</v>
      </c>
      <c r="F123" s="436">
        <v>60456.36</v>
      </c>
      <c r="G123" s="401">
        <f t="shared" si="0"/>
        <v>6045.6360000000004</v>
      </c>
      <c r="H123" s="403"/>
      <c r="I123" s="401">
        <f t="shared" si="1"/>
        <v>0</v>
      </c>
      <c r="J123" s="401">
        <f t="shared" si="2"/>
        <v>0</v>
      </c>
      <c r="K123" s="361" t="s">
        <v>626</v>
      </c>
      <c r="L123" s="363"/>
      <c r="M123" s="365"/>
    </row>
    <row r="124" spans="1:13">
      <c r="A124" s="426">
        <v>32332003</v>
      </c>
      <c r="B124" s="375" t="s">
        <v>22</v>
      </c>
      <c r="C124" s="376">
        <v>37671</v>
      </c>
      <c r="D124" s="375">
        <v>302212015</v>
      </c>
      <c r="E124" s="319" t="s">
        <v>634</v>
      </c>
      <c r="F124" s="378">
        <v>59996.63</v>
      </c>
      <c r="G124" s="315">
        <f t="shared" si="0"/>
        <v>5454.23909090909</v>
      </c>
      <c r="H124" s="317">
        <v>0.1</v>
      </c>
      <c r="I124" s="315">
        <f t="shared" si="1"/>
        <v>5454.2390909090973</v>
      </c>
      <c r="J124" s="315">
        <f t="shared" si="2"/>
        <v>3490.7130181818225</v>
      </c>
      <c r="K124" s="319" t="s">
        <v>79</v>
      </c>
      <c r="L124" s="320"/>
      <c r="M124" s="323"/>
    </row>
    <row r="125" spans="1:13">
      <c r="A125" s="429">
        <v>32332003</v>
      </c>
      <c r="B125" s="380" t="s">
        <v>22</v>
      </c>
      <c r="C125" s="382">
        <v>37671</v>
      </c>
      <c r="D125" s="380">
        <v>302232015</v>
      </c>
      <c r="E125" s="338" t="s">
        <v>636</v>
      </c>
      <c r="F125" s="431">
        <v>59996.63</v>
      </c>
      <c r="G125" s="395">
        <f t="shared" si="0"/>
        <v>5454.23909090909</v>
      </c>
      <c r="H125" s="397">
        <v>0.1</v>
      </c>
      <c r="I125" s="395">
        <f t="shared" si="1"/>
        <v>5454.2390909090973</v>
      </c>
      <c r="J125" s="395">
        <f t="shared" si="2"/>
        <v>3490.7130181818225</v>
      </c>
      <c r="K125" s="338" t="s">
        <v>79</v>
      </c>
      <c r="L125" s="341"/>
      <c r="M125" s="343"/>
    </row>
    <row r="126" spans="1:13">
      <c r="A126" s="488">
        <v>32332003</v>
      </c>
      <c r="B126" s="490" t="s">
        <v>22</v>
      </c>
      <c r="C126" s="491">
        <v>37671</v>
      </c>
      <c r="D126" s="490">
        <v>302242015</v>
      </c>
      <c r="E126" s="492" t="s">
        <v>639</v>
      </c>
      <c r="F126" s="493">
        <v>17113.03</v>
      </c>
      <c r="G126" s="495">
        <f t="shared" si="0"/>
        <v>1555.7299999999998</v>
      </c>
      <c r="H126" s="497">
        <v>0.1</v>
      </c>
      <c r="I126" s="495">
        <f t="shared" si="1"/>
        <v>1555.7300000000014</v>
      </c>
      <c r="J126" s="495">
        <f t="shared" si="2"/>
        <v>995.66720000000089</v>
      </c>
      <c r="K126" s="492" t="s">
        <v>643</v>
      </c>
      <c r="L126" s="499"/>
      <c r="M126" s="501"/>
    </row>
    <row r="127" spans="1:13">
      <c r="A127" s="429">
        <v>32332003</v>
      </c>
      <c r="B127" s="380" t="s">
        <v>22</v>
      </c>
      <c r="C127" s="382">
        <v>37671</v>
      </c>
      <c r="D127" s="380">
        <v>302272015</v>
      </c>
      <c r="E127" s="338" t="s">
        <v>645</v>
      </c>
      <c r="F127" s="431">
        <v>59504.18</v>
      </c>
      <c r="G127" s="395">
        <f t="shared" si="0"/>
        <v>5409.4709090909091</v>
      </c>
      <c r="H127" s="397">
        <v>0.1</v>
      </c>
      <c r="I127" s="395">
        <f t="shared" si="1"/>
        <v>5409.4709090909164</v>
      </c>
      <c r="J127" s="395">
        <f t="shared" si="2"/>
        <v>3462.0613818181864</v>
      </c>
      <c r="K127" s="338" t="s">
        <v>79</v>
      </c>
      <c r="L127" s="341"/>
      <c r="M127" s="343"/>
    </row>
    <row r="128" spans="1:13">
      <c r="A128" s="434">
        <v>32332003</v>
      </c>
      <c r="B128" s="387" t="s">
        <v>22</v>
      </c>
      <c r="C128" s="388">
        <v>37671</v>
      </c>
      <c r="D128" s="387">
        <v>302292015</v>
      </c>
      <c r="E128" s="361" t="s">
        <v>646</v>
      </c>
      <c r="F128" s="436">
        <v>55017.45</v>
      </c>
      <c r="G128" s="401">
        <f t="shared" si="0"/>
        <v>5001.5863636363638</v>
      </c>
      <c r="H128" s="403">
        <v>0.1</v>
      </c>
      <c r="I128" s="401">
        <f t="shared" si="1"/>
        <v>5001.5863636363647</v>
      </c>
      <c r="J128" s="401">
        <f t="shared" si="2"/>
        <v>3201.0152727272734</v>
      </c>
      <c r="K128" s="361" t="s">
        <v>79</v>
      </c>
      <c r="L128" s="363"/>
      <c r="M128" s="365"/>
    </row>
    <row r="129" spans="1:13">
      <c r="A129" s="426">
        <v>1482003</v>
      </c>
      <c r="B129" s="375" t="s">
        <v>22</v>
      </c>
      <c r="C129" s="376">
        <v>37628</v>
      </c>
      <c r="D129" s="375">
        <v>302852015</v>
      </c>
      <c r="E129" s="319" t="s">
        <v>648</v>
      </c>
      <c r="F129" s="378">
        <v>55822.3</v>
      </c>
      <c r="G129" s="315">
        <f t="shared" si="0"/>
        <v>5074.7545454545461</v>
      </c>
      <c r="H129" s="317">
        <v>0.1</v>
      </c>
      <c r="I129" s="315">
        <f t="shared" si="1"/>
        <v>5074.754545454547</v>
      </c>
      <c r="J129" s="315">
        <f t="shared" si="2"/>
        <v>3247.8429090909103</v>
      </c>
      <c r="K129" s="319" t="s">
        <v>79</v>
      </c>
      <c r="L129" s="320"/>
      <c r="M129" s="323"/>
    </row>
    <row r="130" spans="1:13">
      <c r="A130" s="429">
        <v>1482003</v>
      </c>
      <c r="B130" s="380" t="s">
        <v>22</v>
      </c>
      <c r="C130" s="382">
        <v>37628</v>
      </c>
      <c r="D130" s="380">
        <v>302832015</v>
      </c>
      <c r="E130" s="338" t="s">
        <v>649</v>
      </c>
      <c r="F130" s="431">
        <v>23111.34</v>
      </c>
      <c r="G130" s="395">
        <f t="shared" si="0"/>
        <v>2101.0309090909091</v>
      </c>
      <c r="H130" s="397">
        <v>0.1</v>
      </c>
      <c r="I130" s="395">
        <f t="shared" si="1"/>
        <v>2101.0309090909104</v>
      </c>
      <c r="J130" s="395">
        <f t="shared" si="2"/>
        <v>1344.6597818181826</v>
      </c>
      <c r="K130" s="338" t="s">
        <v>79</v>
      </c>
      <c r="L130" s="341"/>
      <c r="M130" s="343"/>
    </row>
    <row r="131" spans="1:13">
      <c r="A131" s="434">
        <v>1482003</v>
      </c>
      <c r="B131" s="387" t="s">
        <v>22</v>
      </c>
      <c r="C131" s="388">
        <v>37628</v>
      </c>
      <c r="D131" s="387">
        <v>302822015</v>
      </c>
      <c r="E131" s="361" t="s">
        <v>651</v>
      </c>
      <c r="F131" s="436">
        <v>97997.37</v>
      </c>
      <c r="G131" s="401">
        <f t="shared" si="0"/>
        <v>8908.8518181818181</v>
      </c>
      <c r="H131" s="403">
        <v>0.1</v>
      </c>
      <c r="I131" s="401">
        <f t="shared" si="1"/>
        <v>8908.8518181818217</v>
      </c>
      <c r="J131" s="401">
        <f t="shared" si="2"/>
        <v>5701.6651636363658</v>
      </c>
      <c r="K131" s="361" t="s">
        <v>654</v>
      </c>
      <c r="L131" s="363"/>
      <c r="M131" s="365"/>
    </row>
    <row r="132" spans="1:13">
      <c r="A132" s="426">
        <v>84862003</v>
      </c>
      <c r="B132" s="375"/>
      <c r="C132" s="376"/>
      <c r="D132" s="375">
        <v>315342015</v>
      </c>
      <c r="E132" s="319" t="s">
        <v>655</v>
      </c>
      <c r="F132" s="378">
        <v>28617.15</v>
      </c>
      <c r="G132" s="315">
        <f t="shared" si="0"/>
        <v>2861.7150000000001</v>
      </c>
      <c r="H132" s="317"/>
      <c r="I132" s="315">
        <f t="shared" si="1"/>
        <v>0</v>
      </c>
      <c r="J132" s="315">
        <f t="shared" si="2"/>
        <v>0</v>
      </c>
      <c r="K132" s="319" t="s">
        <v>166</v>
      </c>
      <c r="L132" s="320"/>
      <c r="M132" s="323"/>
    </row>
    <row r="133" spans="1:13">
      <c r="A133" s="429">
        <v>84862003</v>
      </c>
      <c r="B133" s="380"/>
      <c r="C133" s="382"/>
      <c r="D133" s="380">
        <v>315382015</v>
      </c>
      <c r="E133" s="338" t="s">
        <v>656</v>
      </c>
      <c r="F133" s="431">
        <v>65994.710000000006</v>
      </c>
      <c r="G133" s="395">
        <f t="shared" si="0"/>
        <v>6599.4710000000014</v>
      </c>
      <c r="H133" s="397"/>
      <c r="I133" s="395">
        <f t="shared" si="1"/>
        <v>0</v>
      </c>
      <c r="J133" s="395">
        <f t="shared" si="2"/>
        <v>0</v>
      </c>
      <c r="K133" s="338" t="s">
        <v>79</v>
      </c>
      <c r="L133" s="341"/>
      <c r="M133" s="343"/>
    </row>
    <row r="134" spans="1:13">
      <c r="A134" s="429">
        <v>84862003</v>
      </c>
      <c r="B134" s="380"/>
      <c r="C134" s="382"/>
      <c r="D134" s="380">
        <v>315232015</v>
      </c>
      <c r="E134" s="338" t="s">
        <v>658</v>
      </c>
      <c r="F134" s="431">
        <v>35258.15</v>
      </c>
      <c r="G134" s="395">
        <f t="shared" si="0"/>
        <v>3525.8150000000005</v>
      </c>
      <c r="H134" s="397"/>
      <c r="I134" s="395">
        <f t="shared" si="1"/>
        <v>0</v>
      </c>
      <c r="J134" s="395">
        <f t="shared" si="2"/>
        <v>0</v>
      </c>
      <c r="K134" s="338" t="s">
        <v>166</v>
      </c>
      <c r="L134" s="341"/>
      <c r="M134" s="343"/>
    </row>
    <row r="135" spans="1:13">
      <c r="A135" s="429">
        <v>84862003</v>
      </c>
      <c r="B135" s="380"/>
      <c r="C135" s="382"/>
      <c r="D135" s="380">
        <v>315182015</v>
      </c>
      <c r="E135" s="338" t="s">
        <v>660</v>
      </c>
      <c r="F135" s="431">
        <v>71556.429999999993</v>
      </c>
      <c r="G135" s="395">
        <f t="shared" si="0"/>
        <v>7155.643</v>
      </c>
      <c r="H135" s="397"/>
      <c r="I135" s="395">
        <f t="shared" si="1"/>
        <v>0</v>
      </c>
      <c r="J135" s="395">
        <f t="shared" si="2"/>
        <v>0</v>
      </c>
      <c r="K135" s="338" t="s">
        <v>79</v>
      </c>
      <c r="L135" s="341"/>
      <c r="M135" s="343"/>
    </row>
    <row r="136" spans="1:13">
      <c r="A136" s="434">
        <v>84862003</v>
      </c>
      <c r="B136" s="387"/>
      <c r="C136" s="388"/>
      <c r="D136" s="387">
        <v>315282015</v>
      </c>
      <c r="E136" s="361" t="s">
        <v>663</v>
      </c>
      <c r="F136" s="436">
        <v>43883.62</v>
      </c>
      <c r="G136" s="401">
        <f t="shared" si="0"/>
        <v>4388.3620000000001</v>
      </c>
      <c r="H136" s="403"/>
      <c r="I136" s="401">
        <f t="shared" si="1"/>
        <v>0</v>
      </c>
      <c r="J136" s="401">
        <f t="shared" si="2"/>
        <v>0</v>
      </c>
      <c r="K136" s="361" t="s">
        <v>79</v>
      </c>
      <c r="L136" s="363"/>
      <c r="M136" s="365"/>
    </row>
    <row r="137" spans="1:13">
      <c r="A137" s="426">
        <v>157272014</v>
      </c>
      <c r="B137" s="375" t="s">
        <v>432</v>
      </c>
      <c r="C137" s="376">
        <v>41732</v>
      </c>
      <c r="D137" s="375">
        <v>313872015</v>
      </c>
      <c r="E137" s="319" t="s">
        <v>665</v>
      </c>
      <c r="F137" s="378"/>
      <c r="G137" s="315">
        <f t="shared" si="0"/>
        <v>0</v>
      </c>
      <c r="H137" s="317">
        <v>0.05</v>
      </c>
      <c r="I137" s="315">
        <f t="shared" si="1"/>
        <v>0</v>
      </c>
      <c r="J137" s="315">
        <f t="shared" si="2"/>
        <v>0</v>
      </c>
      <c r="K137" s="319" t="s">
        <v>79</v>
      </c>
      <c r="L137" s="320"/>
      <c r="M137" s="323"/>
    </row>
    <row r="138" spans="1:13">
      <c r="A138" s="429">
        <v>157272014</v>
      </c>
      <c r="B138" s="380" t="s">
        <v>432</v>
      </c>
      <c r="C138" s="382">
        <v>41732</v>
      </c>
      <c r="D138" s="380">
        <v>313842015</v>
      </c>
      <c r="E138" s="338" t="s">
        <v>666</v>
      </c>
      <c r="F138" s="332">
        <v>71241.39</v>
      </c>
      <c r="G138" s="334">
        <f t="shared" si="0"/>
        <v>3392.4471428571433</v>
      </c>
      <c r="H138" s="336">
        <v>0.05</v>
      </c>
      <c r="I138" s="334">
        <f t="shared" si="1"/>
        <v>3392.4471428571414</v>
      </c>
      <c r="J138" s="334">
        <f t="shared" si="2"/>
        <v>3392.4471428571414</v>
      </c>
      <c r="K138" s="338" t="s">
        <v>388</v>
      </c>
      <c r="L138" s="341"/>
      <c r="M138" s="343"/>
    </row>
    <row r="139" spans="1:13">
      <c r="A139" s="429">
        <v>157272014</v>
      </c>
      <c r="B139" s="380" t="s">
        <v>432</v>
      </c>
      <c r="C139" s="382">
        <v>41732</v>
      </c>
      <c r="D139" s="380">
        <v>313852015</v>
      </c>
      <c r="E139" s="338" t="s">
        <v>668</v>
      </c>
      <c r="F139" s="332"/>
      <c r="G139" s="334">
        <f t="shared" si="0"/>
        <v>0</v>
      </c>
      <c r="H139" s="336">
        <v>0.05</v>
      </c>
      <c r="I139" s="334">
        <f t="shared" si="1"/>
        <v>0</v>
      </c>
      <c r="J139" s="334">
        <f t="shared" si="2"/>
        <v>0</v>
      </c>
      <c r="K139" s="338" t="s">
        <v>79</v>
      </c>
      <c r="L139" s="341"/>
      <c r="M139" s="343"/>
    </row>
    <row r="140" spans="1:13">
      <c r="A140" s="429">
        <v>157272014</v>
      </c>
      <c r="B140" s="380" t="s">
        <v>432</v>
      </c>
      <c r="C140" s="382">
        <v>41732</v>
      </c>
      <c r="D140" s="380">
        <v>313802015</v>
      </c>
      <c r="E140" s="338" t="s">
        <v>669</v>
      </c>
      <c r="F140" s="332">
        <v>257664.12</v>
      </c>
      <c r="G140" s="334">
        <f t="shared" si="0"/>
        <v>12269.720000000001</v>
      </c>
      <c r="H140" s="336">
        <v>0.05</v>
      </c>
      <c r="I140" s="334">
        <f t="shared" si="1"/>
        <v>12269.720000000001</v>
      </c>
      <c r="J140" s="334">
        <f t="shared" si="2"/>
        <v>12269.720000000001</v>
      </c>
      <c r="K140" s="338" t="s">
        <v>79</v>
      </c>
      <c r="L140" s="341"/>
      <c r="M140" s="343"/>
    </row>
    <row r="141" spans="1:13">
      <c r="A141" s="429">
        <v>157272014</v>
      </c>
      <c r="B141" s="380" t="s">
        <v>432</v>
      </c>
      <c r="C141" s="382">
        <v>41732</v>
      </c>
      <c r="D141" s="380">
        <v>313682015</v>
      </c>
      <c r="E141" s="338" t="s">
        <v>670</v>
      </c>
      <c r="F141" s="332"/>
      <c r="G141" s="334">
        <f t="shared" si="0"/>
        <v>0</v>
      </c>
      <c r="H141" s="336">
        <v>0.05</v>
      </c>
      <c r="I141" s="334">
        <f t="shared" si="1"/>
        <v>0</v>
      </c>
      <c r="J141" s="334">
        <f t="shared" si="2"/>
        <v>0</v>
      </c>
      <c r="K141" s="338" t="s">
        <v>79</v>
      </c>
      <c r="L141" s="341"/>
      <c r="M141" s="343"/>
    </row>
    <row r="142" spans="1:13">
      <c r="A142" s="429">
        <v>157272014</v>
      </c>
      <c r="B142" s="380" t="s">
        <v>432</v>
      </c>
      <c r="C142" s="382">
        <v>41732</v>
      </c>
      <c r="D142" s="380">
        <v>313822015</v>
      </c>
      <c r="E142" s="338" t="s">
        <v>671</v>
      </c>
      <c r="F142" s="332"/>
      <c r="G142" s="334">
        <f t="shared" si="0"/>
        <v>0</v>
      </c>
      <c r="H142" s="336">
        <v>0.05</v>
      </c>
      <c r="I142" s="334">
        <f t="shared" si="1"/>
        <v>0</v>
      </c>
      <c r="J142" s="334">
        <f t="shared" si="2"/>
        <v>0</v>
      </c>
      <c r="K142" s="338" t="s">
        <v>79</v>
      </c>
      <c r="L142" s="341"/>
      <c r="M142" s="343"/>
    </row>
    <row r="143" spans="1:13">
      <c r="A143" s="429">
        <v>157272014</v>
      </c>
      <c r="B143" s="380" t="s">
        <v>432</v>
      </c>
      <c r="C143" s="382">
        <v>41732</v>
      </c>
      <c r="D143" s="380">
        <v>313712015</v>
      </c>
      <c r="E143" s="338" t="s">
        <v>673</v>
      </c>
      <c r="F143" s="332">
        <v>76412.97</v>
      </c>
      <c r="G143" s="334">
        <f t="shared" si="0"/>
        <v>3638.712857142857</v>
      </c>
      <c r="H143" s="336">
        <v>0.05</v>
      </c>
      <c r="I143" s="334">
        <f t="shared" si="1"/>
        <v>3638.712857142862</v>
      </c>
      <c r="J143" s="334">
        <f t="shared" si="2"/>
        <v>3638.712857142862</v>
      </c>
      <c r="K143" s="338" t="s">
        <v>79</v>
      </c>
      <c r="L143" s="341"/>
      <c r="M143" s="343"/>
    </row>
    <row r="144" spans="1:13">
      <c r="A144" s="429">
        <v>157272014</v>
      </c>
      <c r="B144" s="380" t="s">
        <v>432</v>
      </c>
      <c r="C144" s="382">
        <v>41732</v>
      </c>
      <c r="D144" s="380">
        <v>313642015</v>
      </c>
      <c r="E144" s="338" t="s">
        <v>674</v>
      </c>
      <c r="F144" s="332">
        <v>125778.78</v>
      </c>
      <c r="G144" s="334">
        <f t="shared" si="0"/>
        <v>5989.4657142857141</v>
      </c>
      <c r="H144" s="336">
        <v>0.05</v>
      </c>
      <c r="I144" s="334">
        <f t="shared" si="1"/>
        <v>5989.4657142857177</v>
      </c>
      <c r="J144" s="334">
        <f t="shared" si="2"/>
        <v>5989.4657142857177</v>
      </c>
      <c r="K144" s="338" t="s">
        <v>79</v>
      </c>
      <c r="L144" s="526" t="s">
        <v>81</v>
      </c>
      <c r="M144" s="343"/>
    </row>
    <row r="145" spans="1:13">
      <c r="A145" s="429">
        <v>157272014</v>
      </c>
      <c r="B145" s="380" t="s">
        <v>432</v>
      </c>
      <c r="C145" s="382">
        <v>41732</v>
      </c>
      <c r="D145" s="380">
        <v>313602015</v>
      </c>
      <c r="E145" s="338" t="s">
        <v>677</v>
      </c>
      <c r="F145" s="332">
        <v>67899.179999999993</v>
      </c>
      <c r="G145" s="334">
        <f t="shared" si="0"/>
        <v>3233.2942857142853</v>
      </c>
      <c r="H145" s="336">
        <v>0.05</v>
      </c>
      <c r="I145" s="334">
        <f t="shared" si="1"/>
        <v>3233.2942857142916</v>
      </c>
      <c r="J145" s="334">
        <f t="shared" si="2"/>
        <v>3233.2942857142916</v>
      </c>
      <c r="K145" s="338" t="s">
        <v>79</v>
      </c>
      <c r="L145" s="341"/>
      <c r="M145" s="343"/>
    </row>
    <row r="146" spans="1:13">
      <c r="A146" s="429">
        <v>157272014</v>
      </c>
      <c r="B146" s="380" t="s">
        <v>432</v>
      </c>
      <c r="C146" s="382">
        <v>41732</v>
      </c>
      <c r="D146" s="380">
        <v>313692015</v>
      </c>
      <c r="E146" s="338" t="s">
        <v>679</v>
      </c>
      <c r="F146" s="332"/>
      <c r="G146" s="334">
        <f t="shared" si="0"/>
        <v>0</v>
      </c>
      <c r="H146" s="336">
        <v>0.05</v>
      </c>
      <c r="I146" s="334">
        <f t="shared" si="1"/>
        <v>0</v>
      </c>
      <c r="J146" s="334">
        <f t="shared" si="2"/>
        <v>0</v>
      </c>
      <c r="K146" s="338" t="s">
        <v>79</v>
      </c>
      <c r="L146" s="341"/>
      <c r="M146" s="343"/>
    </row>
    <row r="147" spans="1:13">
      <c r="A147" s="429">
        <v>157272014</v>
      </c>
      <c r="B147" s="380" t="s">
        <v>432</v>
      </c>
      <c r="C147" s="382">
        <v>41732</v>
      </c>
      <c r="D147" s="380">
        <v>313692015</v>
      </c>
      <c r="E147" s="338" t="s">
        <v>681</v>
      </c>
      <c r="F147" s="332"/>
      <c r="G147" s="334">
        <f t="shared" si="0"/>
        <v>0</v>
      </c>
      <c r="H147" s="336">
        <v>0.05</v>
      </c>
      <c r="I147" s="334">
        <f t="shared" si="1"/>
        <v>0</v>
      </c>
      <c r="J147" s="334">
        <f t="shared" si="2"/>
        <v>0</v>
      </c>
      <c r="K147" s="338" t="s">
        <v>79</v>
      </c>
      <c r="L147" s="341"/>
      <c r="M147" s="343"/>
    </row>
    <row r="148" spans="1:13">
      <c r="A148" s="429">
        <v>157272014</v>
      </c>
      <c r="B148" s="380" t="s">
        <v>432</v>
      </c>
      <c r="C148" s="382">
        <v>41732</v>
      </c>
      <c r="D148" s="380">
        <v>313652015</v>
      </c>
      <c r="E148" s="338" t="s">
        <v>682</v>
      </c>
      <c r="F148" s="332"/>
      <c r="G148" s="334">
        <f t="shared" si="0"/>
        <v>0</v>
      </c>
      <c r="H148" s="336">
        <v>0.05</v>
      </c>
      <c r="I148" s="334">
        <f t="shared" si="1"/>
        <v>0</v>
      </c>
      <c r="J148" s="334">
        <f t="shared" si="2"/>
        <v>0</v>
      </c>
      <c r="K148" s="338" t="s">
        <v>79</v>
      </c>
      <c r="L148" s="341"/>
      <c r="M148" s="343"/>
    </row>
    <row r="149" spans="1:13">
      <c r="A149" s="429">
        <v>157272014</v>
      </c>
      <c r="B149" s="380" t="s">
        <v>432</v>
      </c>
      <c r="C149" s="382">
        <v>41732</v>
      </c>
      <c r="D149" s="380">
        <v>313662015</v>
      </c>
      <c r="E149" s="338" t="s">
        <v>684</v>
      </c>
      <c r="F149" s="332"/>
      <c r="G149" s="334">
        <f t="shared" si="0"/>
        <v>0</v>
      </c>
      <c r="H149" s="336">
        <v>0.05</v>
      </c>
      <c r="I149" s="334">
        <f t="shared" si="1"/>
        <v>0</v>
      </c>
      <c r="J149" s="334">
        <f t="shared" si="2"/>
        <v>0</v>
      </c>
      <c r="K149" s="338" t="s">
        <v>79</v>
      </c>
      <c r="L149" s="341"/>
      <c r="M149" s="343"/>
    </row>
    <row r="150" spans="1:13">
      <c r="A150" s="429">
        <v>157272014</v>
      </c>
      <c r="B150" s="380" t="s">
        <v>432</v>
      </c>
      <c r="C150" s="382">
        <v>41732</v>
      </c>
      <c r="D150" s="380">
        <v>313552015</v>
      </c>
      <c r="E150" s="338" t="s">
        <v>685</v>
      </c>
      <c r="F150" s="332"/>
      <c r="G150" s="334">
        <f t="shared" si="0"/>
        <v>0</v>
      </c>
      <c r="H150" s="336">
        <v>0.05</v>
      </c>
      <c r="I150" s="334">
        <f t="shared" si="1"/>
        <v>0</v>
      </c>
      <c r="J150" s="334">
        <f t="shared" si="2"/>
        <v>0</v>
      </c>
      <c r="K150" s="338" t="s">
        <v>79</v>
      </c>
      <c r="L150" s="341"/>
      <c r="M150" s="343"/>
    </row>
    <row r="151" spans="1:13">
      <c r="A151" s="434">
        <v>157272014</v>
      </c>
      <c r="B151" s="387" t="s">
        <v>432</v>
      </c>
      <c r="C151" s="388">
        <v>41732</v>
      </c>
      <c r="D151" s="387">
        <v>313522015</v>
      </c>
      <c r="E151" s="361" t="s">
        <v>686</v>
      </c>
      <c r="F151" s="439"/>
      <c r="G151" s="357">
        <f t="shared" si="0"/>
        <v>0</v>
      </c>
      <c r="H151" s="359">
        <v>0.05</v>
      </c>
      <c r="I151" s="357">
        <f t="shared" si="1"/>
        <v>0</v>
      </c>
      <c r="J151" s="357">
        <f t="shared" si="2"/>
        <v>0</v>
      </c>
      <c r="K151" s="361" t="s">
        <v>79</v>
      </c>
      <c r="L151" s="363"/>
      <c r="M151" s="365"/>
    </row>
    <row r="152" spans="1:13">
      <c r="A152" s="426">
        <v>2472002</v>
      </c>
      <c r="B152" s="375"/>
      <c r="C152" s="376"/>
      <c r="D152" s="375">
        <v>151872015</v>
      </c>
      <c r="E152" s="319" t="s">
        <v>688</v>
      </c>
      <c r="F152" s="378">
        <v>55822.31</v>
      </c>
      <c r="G152" s="315">
        <f t="shared" si="0"/>
        <v>5582.2309999999998</v>
      </c>
      <c r="H152" s="317"/>
      <c r="I152" s="315">
        <f t="shared" si="1"/>
        <v>0</v>
      </c>
      <c r="J152" s="315">
        <f t="shared" si="2"/>
        <v>0</v>
      </c>
      <c r="K152" s="319" t="s">
        <v>79</v>
      </c>
      <c r="L152" s="320"/>
      <c r="M152" s="323"/>
    </row>
    <row r="153" spans="1:13">
      <c r="A153" s="429">
        <v>2472002</v>
      </c>
      <c r="B153" s="380"/>
      <c r="C153" s="382"/>
      <c r="D153" s="380">
        <v>151842015</v>
      </c>
      <c r="E153" s="338" t="s">
        <v>689</v>
      </c>
      <c r="F153" s="431">
        <v>74620.039999999994</v>
      </c>
      <c r="G153" s="395">
        <f t="shared" si="0"/>
        <v>7462.0039999999999</v>
      </c>
      <c r="H153" s="397"/>
      <c r="I153" s="395">
        <f t="shared" si="1"/>
        <v>0</v>
      </c>
      <c r="J153" s="395">
        <f t="shared" si="2"/>
        <v>0</v>
      </c>
      <c r="K153" s="338" t="s">
        <v>79</v>
      </c>
      <c r="L153" s="341"/>
      <c r="M153" s="343"/>
    </row>
    <row r="154" spans="1:13">
      <c r="A154" s="429">
        <v>2472002</v>
      </c>
      <c r="B154" s="380"/>
      <c r="C154" s="382"/>
      <c r="D154" s="380">
        <v>151822015</v>
      </c>
      <c r="E154" s="338" t="s">
        <v>691</v>
      </c>
      <c r="F154" s="431">
        <v>66282.25</v>
      </c>
      <c r="G154" s="395">
        <f t="shared" si="0"/>
        <v>6628.2250000000004</v>
      </c>
      <c r="H154" s="397"/>
      <c r="I154" s="395">
        <f t="shared" si="1"/>
        <v>0</v>
      </c>
      <c r="J154" s="395">
        <f t="shared" si="2"/>
        <v>0</v>
      </c>
      <c r="K154" s="338" t="s">
        <v>79</v>
      </c>
      <c r="L154" s="341"/>
      <c r="M154" s="343"/>
    </row>
    <row r="155" spans="1:13">
      <c r="A155" s="429">
        <v>2472002</v>
      </c>
      <c r="B155" s="380"/>
      <c r="C155" s="382"/>
      <c r="D155" s="380">
        <v>151802015</v>
      </c>
      <c r="E155" s="338" t="s">
        <v>692</v>
      </c>
      <c r="F155" s="431">
        <v>53307.61</v>
      </c>
      <c r="G155" s="395">
        <f t="shared" si="0"/>
        <v>5330.7610000000004</v>
      </c>
      <c r="H155" s="397"/>
      <c r="I155" s="395">
        <f t="shared" si="1"/>
        <v>0</v>
      </c>
      <c r="J155" s="395">
        <f t="shared" si="2"/>
        <v>0</v>
      </c>
      <c r="K155" s="338" t="s">
        <v>79</v>
      </c>
      <c r="L155" s="341"/>
      <c r="M155" s="343"/>
    </row>
    <row r="156" spans="1:13">
      <c r="A156" s="434">
        <v>2472002</v>
      </c>
      <c r="B156" s="387"/>
      <c r="C156" s="388"/>
      <c r="D156" s="387">
        <v>151792015</v>
      </c>
      <c r="E156" s="361" t="s">
        <v>693</v>
      </c>
      <c r="F156" s="436">
        <v>47307.09</v>
      </c>
      <c r="G156" s="401">
        <f t="shared" si="0"/>
        <v>4730.7089999999998</v>
      </c>
      <c r="H156" s="403"/>
      <c r="I156" s="401">
        <f t="shared" si="1"/>
        <v>0</v>
      </c>
      <c r="J156" s="401">
        <f t="shared" si="2"/>
        <v>0</v>
      </c>
      <c r="K156" s="361" t="s">
        <v>79</v>
      </c>
      <c r="L156" s="363"/>
      <c r="M156" s="365"/>
    </row>
    <row r="157" spans="1:13">
      <c r="A157" s="426">
        <v>3532002</v>
      </c>
      <c r="B157" s="375"/>
      <c r="C157" s="376"/>
      <c r="D157" s="375">
        <v>315162015</v>
      </c>
      <c r="E157" s="319" t="s">
        <v>695</v>
      </c>
      <c r="F157" s="655">
        <v>227703.78</v>
      </c>
      <c r="G157" s="315">
        <f t="shared" si="0"/>
        <v>22770.378000000001</v>
      </c>
      <c r="H157" s="317"/>
      <c r="I157" s="315">
        <f t="shared" si="1"/>
        <v>0</v>
      </c>
      <c r="J157" s="315">
        <f t="shared" si="2"/>
        <v>0</v>
      </c>
      <c r="K157" s="319" t="s">
        <v>79</v>
      </c>
      <c r="L157" s="320"/>
      <c r="M157" s="323"/>
    </row>
    <row r="158" spans="1:13">
      <c r="A158" s="429">
        <v>3532002</v>
      </c>
      <c r="B158" s="380"/>
      <c r="C158" s="382"/>
      <c r="D158" s="380">
        <v>315022015</v>
      </c>
      <c r="E158" s="338" t="s">
        <v>696</v>
      </c>
      <c r="F158" s="656"/>
      <c r="G158" s="395">
        <f t="shared" si="0"/>
        <v>0</v>
      </c>
      <c r="H158" s="397"/>
      <c r="I158" s="395">
        <f t="shared" si="1"/>
        <v>0</v>
      </c>
      <c r="J158" s="395">
        <f t="shared" si="2"/>
        <v>0</v>
      </c>
      <c r="K158" s="338" t="s">
        <v>79</v>
      </c>
      <c r="L158" s="341"/>
      <c r="M158" s="343"/>
    </row>
    <row r="159" spans="1:13">
      <c r="A159" s="429">
        <v>3532002</v>
      </c>
      <c r="B159" s="380"/>
      <c r="C159" s="382"/>
      <c r="D159" s="380">
        <v>314952015</v>
      </c>
      <c r="E159" s="338" t="s">
        <v>697</v>
      </c>
      <c r="F159" s="656"/>
      <c r="G159" s="395">
        <f t="shared" si="0"/>
        <v>0</v>
      </c>
      <c r="H159" s="397"/>
      <c r="I159" s="395">
        <f t="shared" si="1"/>
        <v>0</v>
      </c>
      <c r="J159" s="395">
        <f t="shared" si="2"/>
        <v>0</v>
      </c>
      <c r="K159" s="338" t="s">
        <v>79</v>
      </c>
      <c r="L159" s="341"/>
      <c r="M159" s="343"/>
    </row>
    <row r="160" spans="1:13">
      <c r="A160" s="429">
        <v>3532002</v>
      </c>
      <c r="B160" s="380"/>
      <c r="C160" s="382"/>
      <c r="D160" s="380">
        <v>316602015</v>
      </c>
      <c r="E160" s="338" t="s">
        <v>698</v>
      </c>
      <c r="F160" s="656"/>
      <c r="G160" s="395">
        <f t="shared" si="0"/>
        <v>0</v>
      </c>
      <c r="H160" s="397"/>
      <c r="I160" s="395">
        <f t="shared" si="1"/>
        <v>0</v>
      </c>
      <c r="J160" s="395">
        <f t="shared" si="2"/>
        <v>0</v>
      </c>
      <c r="K160" s="338" t="s">
        <v>79</v>
      </c>
      <c r="L160" s="341"/>
      <c r="M160" s="343"/>
    </row>
    <row r="161" spans="1:13">
      <c r="A161" s="434">
        <v>3532002</v>
      </c>
      <c r="B161" s="387"/>
      <c r="C161" s="388"/>
      <c r="D161" s="387">
        <v>316502015</v>
      </c>
      <c r="E161" s="361" t="s">
        <v>700</v>
      </c>
      <c r="F161" s="657"/>
      <c r="G161" s="401">
        <f t="shared" si="0"/>
        <v>0</v>
      </c>
      <c r="H161" s="403"/>
      <c r="I161" s="401">
        <f t="shared" si="1"/>
        <v>0</v>
      </c>
      <c r="J161" s="401">
        <f t="shared" si="2"/>
        <v>0</v>
      </c>
      <c r="K161" s="361" t="s">
        <v>79</v>
      </c>
      <c r="L161" s="363"/>
      <c r="M161" s="365"/>
    </row>
    <row r="162" spans="1:13">
      <c r="A162" s="426">
        <v>202802002</v>
      </c>
      <c r="B162" s="375"/>
      <c r="C162" s="376"/>
      <c r="D162" s="375">
        <v>507582014</v>
      </c>
      <c r="E162" s="319" t="s">
        <v>702</v>
      </c>
      <c r="F162" s="655">
        <v>139481.10999999999</v>
      </c>
      <c r="G162" s="315">
        <f t="shared" si="0"/>
        <v>13948.110999999999</v>
      </c>
      <c r="H162" s="317"/>
      <c r="I162" s="315">
        <f t="shared" si="1"/>
        <v>0</v>
      </c>
      <c r="J162" s="315">
        <f t="shared" si="2"/>
        <v>0</v>
      </c>
      <c r="K162" s="319" t="s">
        <v>79</v>
      </c>
      <c r="L162" s="320"/>
      <c r="M162" s="323"/>
    </row>
    <row r="163" spans="1:13">
      <c r="A163" s="429">
        <v>202802002</v>
      </c>
      <c r="B163" s="380"/>
      <c r="C163" s="382"/>
      <c r="D163" s="380">
        <v>507632014</v>
      </c>
      <c r="E163" s="338" t="s">
        <v>703</v>
      </c>
      <c r="F163" s="656"/>
      <c r="G163" s="395">
        <f t="shared" si="0"/>
        <v>0</v>
      </c>
      <c r="H163" s="397"/>
      <c r="I163" s="395">
        <f t="shared" si="1"/>
        <v>0</v>
      </c>
      <c r="J163" s="395">
        <f t="shared" si="2"/>
        <v>0</v>
      </c>
      <c r="K163" s="338" t="s">
        <v>79</v>
      </c>
      <c r="L163" s="341"/>
      <c r="M163" s="343"/>
    </row>
    <row r="164" spans="1:13">
      <c r="A164" s="429">
        <v>202802002</v>
      </c>
      <c r="B164" s="380"/>
      <c r="C164" s="382"/>
      <c r="D164" s="380">
        <v>507642014</v>
      </c>
      <c r="E164" s="338" t="s">
        <v>704</v>
      </c>
      <c r="F164" s="656"/>
      <c r="G164" s="395">
        <f t="shared" si="0"/>
        <v>0</v>
      </c>
      <c r="H164" s="397"/>
      <c r="I164" s="395">
        <f t="shared" si="1"/>
        <v>0</v>
      </c>
      <c r="J164" s="395">
        <f t="shared" si="2"/>
        <v>0</v>
      </c>
      <c r="K164" s="338" t="s">
        <v>79</v>
      </c>
      <c r="L164" s="341"/>
      <c r="M164" s="343"/>
    </row>
    <row r="165" spans="1:13">
      <c r="A165" s="434">
        <v>202802002</v>
      </c>
      <c r="B165" s="387"/>
      <c r="C165" s="388"/>
      <c r="D165" s="387">
        <v>507612014</v>
      </c>
      <c r="E165" s="361" t="s">
        <v>706</v>
      </c>
      <c r="F165" s="657"/>
      <c r="G165" s="401">
        <f t="shared" si="0"/>
        <v>0</v>
      </c>
      <c r="H165" s="403"/>
      <c r="I165" s="401">
        <f t="shared" si="1"/>
        <v>0</v>
      </c>
      <c r="J165" s="401">
        <f t="shared" si="2"/>
        <v>0</v>
      </c>
      <c r="K165" s="361" t="s">
        <v>79</v>
      </c>
      <c r="L165" s="363"/>
      <c r="M165" s="365"/>
    </row>
    <row r="166" spans="1:13">
      <c r="A166" s="542">
        <v>110372013</v>
      </c>
      <c r="B166" s="543" t="s">
        <v>432</v>
      </c>
      <c r="C166" s="544"/>
      <c r="D166" s="543">
        <v>303332015</v>
      </c>
      <c r="E166" s="545" t="s">
        <v>708</v>
      </c>
      <c r="F166" s="547">
        <v>327622.5</v>
      </c>
      <c r="G166" s="549">
        <f t="shared" si="0"/>
        <v>32762.25</v>
      </c>
      <c r="H166" s="551"/>
      <c r="I166" s="549">
        <f t="shared" si="1"/>
        <v>0</v>
      </c>
      <c r="J166" s="549">
        <f t="shared" si="2"/>
        <v>0</v>
      </c>
      <c r="K166" s="545" t="s">
        <v>79</v>
      </c>
      <c r="L166" s="295"/>
      <c r="M166" s="297"/>
    </row>
    <row r="167" spans="1:13">
      <c r="A167" s="426">
        <v>27472005</v>
      </c>
      <c r="B167" s="375" t="s">
        <v>237</v>
      </c>
      <c r="C167" s="376">
        <v>38397</v>
      </c>
      <c r="D167" s="375">
        <v>77072015</v>
      </c>
      <c r="E167" s="319" t="s">
        <v>712</v>
      </c>
      <c r="F167" s="378">
        <v>17051.79</v>
      </c>
      <c r="G167" s="315">
        <f t="shared" si="0"/>
        <v>1550.1627272727274</v>
      </c>
      <c r="H167" s="317">
        <v>0.1</v>
      </c>
      <c r="I167" s="315">
        <f t="shared" si="1"/>
        <v>1550.1627272727292</v>
      </c>
      <c r="J167" s="315">
        <f t="shared" si="2"/>
        <v>1020.0070745454558</v>
      </c>
      <c r="K167" s="319" t="s">
        <v>79</v>
      </c>
      <c r="L167" s="320"/>
      <c r="M167" s="323"/>
    </row>
    <row r="168" spans="1:13">
      <c r="A168" s="434">
        <v>27472005</v>
      </c>
      <c r="B168" s="387" t="s">
        <v>237</v>
      </c>
      <c r="C168" s="388">
        <v>38397</v>
      </c>
      <c r="D168" s="387">
        <v>77102015</v>
      </c>
      <c r="E168" s="361" t="s">
        <v>714</v>
      </c>
      <c r="F168" s="436">
        <v>18206.8</v>
      </c>
      <c r="G168" s="401">
        <f t="shared" si="0"/>
        <v>1655.1636363636362</v>
      </c>
      <c r="H168" s="403">
        <v>0.1</v>
      </c>
      <c r="I168" s="401">
        <f t="shared" si="1"/>
        <v>1655.1636363636389</v>
      </c>
      <c r="J168" s="401">
        <f t="shared" si="2"/>
        <v>1089.0976727272746</v>
      </c>
      <c r="K168" s="361" t="s">
        <v>79</v>
      </c>
      <c r="L168" s="363"/>
      <c r="M168" s="365"/>
    </row>
    <row r="169" spans="1:13">
      <c r="A169" s="371">
        <v>48292005</v>
      </c>
      <c r="B169" s="274" t="s">
        <v>237</v>
      </c>
      <c r="C169" s="275">
        <v>38427</v>
      </c>
      <c r="D169" s="274">
        <v>91762015</v>
      </c>
      <c r="E169" s="293" t="s">
        <v>716</v>
      </c>
      <c r="F169" s="373">
        <v>41939.17</v>
      </c>
      <c r="G169" s="283">
        <f t="shared" si="0"/>
        <v>3812.6518181818174</v>
      </c>
      <c r="H169" s="286">
        <v>0.1</v>
      </c>
      <c r="I169" s="283">
        <f t="shared" si="1"/>
        <v>3812.6518181818246</v>
      </c>
      <c r="J169" s="283">
        <f t="shared" si="2"/>
        <v>2508.7248963636407</v>
      </c>
      <c r="K169" s="293" t="s">
        <v>79</v>
      </c>
      <c r="L169" s="295"/>
      <c r="M169" s="297"/>
    </row>
    <row r="170" spans="1:13">
      <c r="A170" s="426">
        <v>27582003</v>
      </c>
      <c r="B170" s="375"/>
      <c r="C170" s="376"/>
      <c r="D170" s="375">
        <v>537502015</v>
      </c>
      <c r="E170" s="319" t="s">
        <v>717</v>
      </c>
      <c r="F170" s="313"/>
      <c r="G170" s="315">
        <f t="shared" si="0"/>
        <v>0</v>
      </c>
      <c r="H170" s="317"/>
      <c r="I170" s="315">
        <f t="shared" si="1"/>
        <v>0</v>
      </c>
      <c r="J170" s="315">
        <f t="shared" si="2"/>
        <v>0</v>
      </c>
      <c r="K170" s="319" t="s">
        <v>79</v>
      </c>
      <c r="L170" s="320"/>
      <c r="M170" s="323"/>
    </row>
    <row r="171" spans="1:13">
      <c r="A171" s="429">
        <v>27582003</v>
      </c>
      <c r="B171" s="380"/>
      <c r="C171" s="382"/>
      <c r="D171" s="380">
        <v>537562015</v>
      </c>
      <c r="E171" s="338" t="s">
        <v>718</v>
      </c>
      <c r="F171" s="444"/>
      <c r="G171" s="395">
        <f t="shared" si="0"/>
        <v>0</v>
      </c>
      <c r="H171" s="397"/>
      <c r="I171" s="395">
        <f t="shared" si="1"/>
        <v>0</v>
      </c>
      <c r="J171" s="395">
        <f t="shared" si="2"/>
        <v>0</v>
      </c>
      <c r="K171" s="338" t="s">
        <v>79</v>
      </c>
      <c r="L171" s="341"/>
      <c r="M171" s="343"/>
    </row>
    <row r="172" spans="1:13">
      <c r="A172" s="434">
        <v>27582003</v>
      </c>
      <c r="B172" s="387"/>
      <c r="C172" s="388"/>
      <c r="D172" s="387">
        <v>537532015</v>
      </c>
      <c r="E172" s="361" t="s">
        <v>719</v>
      </c>
      <c r="F172" s="412"/>
      <c r="G172" s="401">
        <f t="shared" si="0"/>
        <v>0</v>
      </c>
      <c r="H172" s="403"/>
      <c r="I172" s="401">
        <f t="shared" si="1"/>
        <v>0</v>
      </c>
      <c r="J172" s="401">
        <f t="shared" si="2"/>
        <v>0</v>
      </c>
      <c r="K172" s="361" t="s">
        <v>79</v>
      </c>
      <c r="L172" s="363"/>
      <c r="M172" s="365"/>
    </row>
    <row r="173" spans="1:13">
      <c r="A173" s="426">
        <v>215602004</v>
      </c>
      <c r="B173" s="375"/>
      <c r="C173" s="376"/>
      <c r="D173" s="375">
        <v>308922015</v>
      </c>
      <c r="E173" s="319" t="s">
        <v>721</v>
      </c>
      <c r="F173" s="313"/>
      <c r="G173" s="315">
        <f t="shared" si="0"/>
        <v>0</v>
      </c>
      <c r="H173" s="317"/>
      <c r="I173" s="315">
        <f t="shared" si="1"/>
        <v>0</v>
      </c>
      <c r="J173" s="315">
        <f t="shared" si="2"/>
        <v>0</v>
      </c>
      <c r="K173" s="319" t="s">
        <v>388</v>
      </c>
      <c r="L173" s="320"/>
      <c r="M173" s="323"/>
    </row>
    <row r="174" spans="1:13">
      <c r="A174" s="429">
        <v>215602004</v>
      </c>
      <c r="B174" s="380"/>
      <c r="C174" s="382"/>
      <c r="D174" s="380">
        <v>308962015</v>
      </c>
      <c r="E174" s="338" t="s">
        <v>722</v>
      </c>
      <c r="F174" s="431">
        <v>122920.56</v>
      </c>
      <c r="G174" s="395">
        <f t="shared" si="0"/>
        <v>12292.056</v>
      </c>
      <c r="H174" s="397"/>
      <c r="I174" s="395">
        <f t="shared" si="1"/>
        <v>0</v>
      </c>
      <c r="J174" s="395">
        <f t="shared" si="2"/>
        <v>0</v>
      </c>
      <c r="K174" s="338" t="s">
        <v>79</v>
      </c>
      <c r="L174" s="341"/>
      <c r="M174" s="343"/>
    </row>
    <row r="175" spans="1:13">
      <c r="A175" s="434">
        <v>215602004</v>
      </c>
      <c r="B175" s="387"/>
      <c r="C175" s="388"/>
      <c r="D175" s="387">
        <v>308992015</v>
      </c>
      <c r="E175" s="361" t="s">
        <v>724</v>
      </c>
      <c r="F175" s="412"/>
      <c r="G175" s="401">
        <f t="shared" si="0"/>
        <v>0</v>
      </c>
      <c r="H175" s="403"/>
      <c r="I175" s="401">
        <f t="shared" si="1"/>
        <v>0</v>
      </c>
      <c r="J175" s="401">
        <f t="shared" si="2"/>
        <v>0</v>
      </c>
      <c r="K175" s="361" t="s">
        <v>79</v>
      </c>
      <c r="L175" s="363"/>
      <c r="M175" s="365"/>
    </row>
    <row r="176" spans="1:13">
      <c r="A176" s="557">
        <v>3022005</v>
      </c>
      <c r="B176" s="274" t="s">
        <v>22</v>
      </c>
      <c r="C176" s="275">
        <v>38357</v>
      </c>
      <c r="D176" s="274">
        <v>568312015</v>
      </c>
      <c r="E176" s="293" t="s">
        <v>726</v>
      </c>
      <c r="F176" s="280">
        <v>135837.57999999999</v>
      </c>
      <c r="G176" s="283">
        <f t="shared" si="0"/>
        <v>12348.870909090907</v>
      </c>
      <c r="H176" s="286">
        <v>0.1</v>
      </c>
      <c r="I176" s="283">
        <f t="shared" si="1"/>
        <v>12348.870909090925</v>
      </c>
      <c r="J176" s="283">
        <f t="shared" si="2"/>
        <v>8125.5570581818292</v>
      </c>
      <c r="K176" s="293" t="s">
        <v>79</v>
      </c>
      <c r="L176" s="295"/>
      <c r="M176" s="297"/>
    </row>
    <row r="177" spans="1:13">
      <c r="A177" s="485">
        <v>430822014</v>
      </c>
      <c r="B177" s="375" t="s">
        <v>432</v>
      </c>
      <c r="C177" s="376">
        <v>41886</v>
      </c>
      <c r="D177" s="375">
        <v>568302015</v>
      </c>
      <c r="E177" s="319" t="s">
        <v>729</v>
      </c>
      <c r="F177" s="563">
        <f>147861.19+7393.06</f>
        <v>155254.25</v>
      </c>
      <c r="G177" s="315">
        <f t="shared" si="0"/>
        <v>7393.0595238095239</v>
      </c>
      <c r="H177" s="317">
        <v>0.05</v>
      </c>
      <c r="I177" s="315">
        <f t="shared" si="1"/>
        <v>7393.0595238095266</v>
      </c>
      <c r="J177" s="315">
        <f t="shared" si="2"/>
        <v>7393.0595238095266</v>
      </c>
      <c r="K177" s="319" t="s">
        <v>79</v>
      </c>
      <c r="L177" s="320"/>
      <c r="M177" s="323"/>
    </row>
    <row r="178" spans="1:13">
      <c r="A178" s="496">
        <v>430822014</v>
      </c>
      <c r="B178" s="380" t="s">
        <v>432</v>
      </c>
      <c r="C178" s="382">
        <v>41886</v>
      </c>
      <c r="D178" s="380">
        <v>568272015</v>
      </c>
      <c r="E178" s="338" t="s">
        <v>733</v>
      </c>
      <c r="F178" s="566">
        <f>112911.93+5645.6</f>
        <v>118557.53</v>
      </c>
      <c r="G178" s="395">
        <f t="shared" si="0"/>
        <v>5645.5966666666673</v>
      </c>
      <c r="H178" s="397">
        <v>0.05</v>
      </c>
      <c r="I178" s="395">
        <f t="shared" si="1"/>
        <v>5645.5966666666645</v>
      </c>
      <c r="J178" s="395">
        <f t="shared" si="2"/>
        <v>5645.5966666666645</v>
      </c>
      <c r="K178" s="338" t="s">
        <v>79</v>
      </c>
      <c r="L178" s="341"/>
      <c r="M178" s="343"/>
    </row>
    <row r="179" spans="1:13">
      <c r="A179" s="496">
        <v>430822014</v>
      </c>
      <c r="B179" s="380" t="s">
        <v>432</v>
      </c>
      <c r="C179" s="382">
        <v>41886</v>
      </c>
      <c r="D179" s="380">
        <v>568242015</v>
      </c>
      <c r="E179" s="338" t="s">
        <v>736</v>
      </c>
      <c r="F179" s="566">
        <f>121184.81+6009.24</f>
        <v>127194.05</v>
      </c>
      <c r="G179" s="395">
        <f t="shared" si="0"/>
        <v>6056.859523809524</v>
      </c>
      <c r="H179" s="397">
        <v>0.05</v>
      </c>
      <c r="I179" s="395">
        <f t="shared" si="1"/>
        <v>6056.8595238095295</v>
      </c>
      <c r="J179" s="395">
        <f t="shared" si="2"/>
        <v>6056.8595238095295</v>
      </c>
      <c r="K179" s="338" t="s">
        <v>79</v>
      </c>
      <c r="L179" s="341"/>
      <c r="M179" s="343"/>
    </row>
    <row r="180" spans="1:13">
      <c r="A180" s="496">
        <v>430822014</v>
      </c>
      <c r="B180" s="380" t="s">
        <v>432</v>
      </c>
      <c r="C180" s="382">
        <v>41886</v>
      </c>
      <c r="D180" s="380">
        <v>568222015</v>
      </c>
      <c r="E180" s="338" t="s">
        <v>739</v>
      </c>
      <c r="F180" s="566">
        <f>161330.93+8066.55</f>
        <v>169397.47999999998</v>
      </c>
      <c r="G180" s="395">
        <f t="shared" si="0"/>
        <v>8066.5466666666662</v>
      </c>
      <c r="H180" s="397">
        <v>0.05</v>
      </c>
      <c r="I180" s="395">
        <f t="shared" si="1"/>
        <v>8066.5466666666616</v>
      </c>
      <c r="J180" s="395">
        <f t="shared" si="2"/>
        <v>8066.5466666666616</v>
      </c>
      <c r="K180" s="338" t="s">
        <v>79</v>
      </c>
      <c r="L180" s="341"/>
      <c r="M180" s="343"/>
    </row>
    <row r="181" spans="1:13">
      <c r="A181" s="496">
        <v>430822014</v>
      </c>
      <c r="B181" s="380" t="s">
        <v>432</v>
      </c>
      <c r="C181" s="382">
        <v>41886</v>
      </c>
      <c r="D181" s="380">
        <v>568212015</v>
      </c>
      <c r="E181" s="338" t="s">
        <v>742</v>
      </c>
      <c r="F181" s="566">
        <f>264541.73+13227.09</f>
        <v>277768.82</v>
      </c>
      <c r="G181" s="395">
        <f t="shared" si="0"/>
        <v>13227.086666666668</v>
      </c>
      <c r="H181" s="397">
        <v>0.05</v>
      </c>
      <c r="I181" s="395">
        <f t="shared" si="1"/>
        <v>13227.08666666667</v>
      </c>
      <c r="J181" s="395">
        <f t="shared" si="2"/>
        <v>13227.08666666667</v>
      </c>
      <c r="K181" s="338" t="s">
        <v>79</v>
      </c>
      <c r="L181" s="341"/>
      <c r="M181" s="343"/>
    </row>
    <row r="182" spans="1:13">
      <c r="A182" s="496">
        <v>430822014</v>
      </c>
      <c r="B182" s="380" t="s">
        <v>432</v>
      </c>
      <c r="C182" s="382">
        <v>41886</v>
      </c>
      <c r="D182" s="380">
        <v>568162015</v>
      </c>
      <c r="E182" s="338" t="s">
        <v>746</v>
      </c>
      <c r="F182" s="566">
        <f>210716.91+10535.85</f>
        <v>221252.76</v>
      </c>
      <c r="G182" s="395">
        <f t="shared" si="0"/>
        <v>10535.845714285715</v>
      </c>
      <c r="H182" s="397">
        <v>0.05</v>
      </c>
      <c r="I182" s="395">
        <f t="shared" si="1"/>
        <v>10535.845714285737</v>
      </c>
      <c r="J182" s="395">
        <f t="shared" si="2"/>
        <v>10535.845714285737</v>
      </c>
      <c r="K182" s="338" t="s">
        <v>79</v>
      </c>
      <c r="L182" s="341"/>
      <c r="M182" s="343"/>
    </row>
    <row r="183" spans="1:13">
      <c r="A183" s="496">
        <v>430822014</v>
      </c>
      <c r="B183" s="380" t="s">
        <v>432</v>
      </c>
      <c r="C183" s="382">
        <v>41886</v>
      </c>
      <c r="D183" s="380">
        <v>568152015</v>
      </c>
      <c r="E183" s="338" t="s">
        <v>750</v>
      </c>
      <c r="F183" s="566">
        <f>235738.16+231287.67+11786.91+11564.38</f>
        <v>490377.12</v>
      </c>
      <c r="G183" s="395">
        <f t="shared" si="0"/>
        <v>23351.291428571429</v>
      </c>
      <c r="H183" s="397">
        <v>0.05</v>
      </c>
      <c r="I183" s="395">
        <f t="shared" si="1"/>
        <v>23351.291428571451</v>
      </c>
      <c r="J183" s="395">
        <f t="shared" si="2"/>
        <v>23351.291428571451</v>
      </c>
      <c r="K183" s="338" t="s">
        <v>79</v>
      </c>
      <c r="L183" s="341"/>
      <c r="M183" s="343"/>
    </row>
    <row r="184" spans="1:13">
      <c r="A184" s="496">
        <v>430822014</v>
      </c>
      <c r="B184" s="380" t="s">
        <v>432</v>
      </c>
      <c r="C184" s="382">
        <v>41886</v>
      </c>
      <c r="D184" s="380">
        <v>568112015</v>
      </c>
      <c r="E184" s="338" t="s">
        <v>752</v>
      </c>
      <c r="F184" s="566">
        <f>161118.61+8055.93</f>
        <v>169174.53999999998</v>
      </c>
      <c r="G184" s="395">
        <f t="shared" si="0"/>
        <v>8055.930476190475</v>
      </c>
      <c r="H184" s="397">
        <v>0.05</v>
      </c>
      <c r="I184" s="395">
        <f t="shared" si="1"/>
        <v>8055.9304761904932</v>
      </c>
      <c r="J184" s="395">
        <f t="shared" si="2"/>
        <v>8055.9304761904932</v>
      </c>
      <c r="K184" s="338" t="s">
        <v>79</v>
      </c>
      <c r="L184" s="341"/>
      <c r="M184" s="343"/>
    </row>
    <row r="185" spans="1:13">
      <c r="A185" s="496">
        <v>430822014</v>
      </c>
      <c r="B185" s="380" t="s">
        <v>432</v>
      </c>
      <c r="C185" s="382">
        <v>41886</v>
      </c>
      <c r="D185" s="380">
        <v>568102015</v>
      </c>
      <c r="E185" s="338" t="s">
        <v>755</v>
      </c>
      <c r="F185" s="566">
        <f>116932.89+5846.64</f>
        <v>122779.53</v>
      </c>
      <c r="G185" s="395">
        <f t="shared" si="0"/>
        <v>5846.6442857142856</v>
      </c>
      <c r="H185" s="397">
        <v>0.05</v>
      </c>
      <c r="I185" s="395">
        <f t="shared" si="1"/>
        <v>5846.6442857142974</v>
      </c>
      <c r="J185" s="395">
        <f t="shared" si="2"/>
        <v>5846.6442857142974</v>
      </c>
      <c r="K185" s="338" t="s">
        <v>79</v>
      </c>
      <c r="L185" s="341"/>
      <c r="M185" s="343"/>
    </row>
    <row r="186" spans="1:13">
      <c r="A186" s="496">
        <v>430822014</v>
      </c>
      <c r="B186" s="380" t="s">
        <v>432</v>
      </c>
      <c r="C186" s="382">
        <v>41886</v>
      </c>
      <c r="D186" s="380">
        <v>568082015</v>
      </c>
      <c r="E186" s="338" t="s">
        <v>760</v>
      </c>
      <c r="F186" s="566">
        <f>165797.55+166557.63+8389.88+8327.88</f>
        <v>349072.94</v>
      </c>
      <c r="G186" s="395">
        <f t="shared" si="0"/>
        <v>16622.520952380954</v>
      </c>
      <c r="H186" s="397">
        <v>0.05</v>
      </c>
      <c r="I186" s="395">
        <f t="shared" si="1"/>
        <v>16622.520952380961</v>
      </c>
      <c r="J186" s="395">
        <f t="shared" si="2"/>
        <v>16622.520952380961</v>
      </c>
      <c r="K186" s="338" t="s">
        <v>79</v>
      </c>
      <c r="L186" s="341"/>
      <c r="M186" s="343"/>
    </row>
    <row r="187" spans="1:13">
      <c r="A187" s="496">
        <v>430822014</v>
      </c>
      <c r="B187" s="380" t="s">
        <v>432</v>
      </c>
      <c r="C187" s="382">
        <v>41886</v>
      </c>
      <c r="D187" s="380">
        <v>568052015</v>
      </c>
      <c r="E187" s="338" t="s">
        <v>762</v>
      </c>
      <c r="F187" s="566">
        <f>224539.25+172388.97+11226.96+8619.45</f>
        <v>416774.63</v>
      </c>
      <c r="G187" s="395">
        <f t="shared" si="0"/>
        <v>19846.410952380953</v>
      </c>
      <c r="H187" s="397">
        <v>0.05</v>
      </c>
      <c r="I187" s="395">
        <f t="shared" si="1"/>
        <v>19846.410952380975</v>
      </c>
      <c r="J187" s="395">
        <f t="shared" si="2"/>
        <v>19846.410952380975</v>
      </c>
      <c r="K187" s="338" t="s">
        <v>79</v>
      </c>
      <c r="L187" s="341"/>
      <c r="M187" s="343"/>
    </row>
    <row r="188" spans="1:13">
      <c r="A188" s="496">
        <v>430822014</v>
      </c>
      <c r="B188" s="380" t="s">
        <v>432</v>
      </c>
      <c r="C188" s="382">
        <v>41886</v>
      </c>
      <c r="D188" s="380">
        <v>568012015</v>
      </c>
      <c r="E188" s="338" t="s">
        <v>765</v>
      </c>
      <c r="F188" s="566">
        <f>100248.47+5012.42+172982.42+8649.12</f>
        <v>286892.43</v>
      </c>
      <c r="G188" s="395">
        <f t="shared" si="0"/>
        <v>13661.544285714286</v>
      </c>
      <c r="H188" s="397">
        <v>0.05</v>
      </c>
      <c r="I188" s="395">
        <f t="shared" si="1"/>
        <v>13661.544285714277</v>
      </c>
      <c r="J188" s="395">
        <f t="shared" si="2"/>
        <v>13661.544285714277</v>
      </c>
      <c r="K188" s="338" t="s">
        <v>767</v>
      </c>
      <c r="L188" s="341"/>
      <c r="M188" s="343"/>
    </row>
    <row r="189" spans="1:13">
      <c r="A189" s="496">
        <v>430822014</v>
      </c>
      <c r="B189" s="380" t="s">
        <v>432</v>
      </c>
      <c r="C189" s="382">
        <v>41886</v>
      </c>
      <c r="D189" s="380">
        <v>568032015</v>
      </c>
      <c r="E189" s="338" t="s">
        <v>768</v>
      </c>
      <c r="F189" s="566">
        <f>158057.88+7902.89</f>
        <v>165960.77000000002</v>
      </c>
      <c r="G189" s="395">
        <f t="shared" si="0"/>
        <v>7902.8938095238109</v>
      </c>
      <c r="H189" s="397">
        <v>0.05</v>
      </c>
      <c r="I189" s="395">
        <f t="shared" si="1"/>
        <v>7902.8938095238118</v>
      </c>
      <c r="J189" s="395">
        <f t="shared" si="2"/>
        <v>7902.8938095238118</v>
      </c>
      <c r="K189" s="338" t="s">
        <v>79</v>
      </c>
      <c r="L189" s="341"/>
      <c r="M189" s="343"/>
    </row>
    <row r="190" spans="1:13">
      <c r="A190" s="496">
        <v>430822014</v>
      </c>
      <c r="B190" s="380" t="s">
        <v>432</v>
      </c>
      <c r="C190" s="382">
        <v>41886</v>
      </c>
      <c r="D190" s="380">
        <v>567992015</v>
      </c>
      <c r="E190" s="338" t="s">
        <v>772</v>
      </c>
      <c r="F190" s="566">
        <f>221350.28+11067.51</f>
        <v>232417.79</v>
      </c>
      <c r="G190" s="395">
        <f t="shared" si="0"/>
        <v>11067.513809523811</v>
      </c>
      <c r="H190" s="397">
        <v>0.05</v>
      </c>
      <c r="I190" s="395">
        <f t="shared" si="1"/>
        <v>11067.513809523807</v>
      </c>
      <c r="J190" s="395">
        <f t="shared" si="2"/>
        <v>11067.513809523807</v>
      </c>
      <c r="K190" s="338" t="s">
        <v>79</v>
      </c>
      <c r="L190" s="341"/>
      <c r="M190" s="343"/>
    </row>
    <row r="191" spans="1:13">
      <c r="A191" s="562">
        <v>430822014</v>
      </c>
      <c r="B191" s="387" t="s">
        <v>432</v>
      </c>
      <c r="C191" s="388">
        <v>41886</v>
      </c>
      <c r="D191" s="387">
        <v>568202015</v>
      </c>
      <c r="E191" s="361" t="s">
        <v>774</v>
      </c>
      <c r="F191" s="577">
        <f>101047.31+5052.37</f>
        <v>106099.68</v>
      </c>
      <c r="G191" s="401">
        <f t="shared" si="0"/>
        <v>5052.3657142857146</v>
      </c>
      <c r="H191" s="403">
        <v>0.05</v>
      </c>
      <c r="I191" s="401">
        <f t="shared" si="1"/>
        <v>5052.3657142857119</v>
      </c>
      <c r="J191" s="401">
        <f t="shared" si="2"/>
        <v>5052.3657142857119</v>
      </c>
      <c r="K191" s="361" t="s">
        <v>79</v>
      </c>
      <c r="L191" s="363"/>
      <c r="M191" s="365"/>
    </row>
    <row r="192" spans="1:13">
      <c r="A192" s="485">
        <v>246072014</v>
      </c>
      <c r="B192" s="375" t="s">
        <v>432</v>
      </c>
      <c r="C192" s="376">
        <v>41785</v>
      </c>
      <c r="D192" s="375">
        <v>630752015</v>
      </c>
      <c r="E192" s="319" t="s">
        <v>777</v>
      </c>
      <c r="F192" s="487">
        <v>113328.15</v>
      </c>
      <c r="G192" s="315">
        <f t="shared" si="0"/>
        <v>5396.5785714285712</v>
      </c>
      <c r="H192" s="317">
        <v>0.05</v>
      </c>
      <c r="I192" s="315">
        <f t="shared" si="1"/>
        <v>5396.5785714285739</v>
      </c>
      <c r="J192" s="315">
        <f t="shared" si="2"/>
        <v>5396.5785714285739</v>
      </c>
      <c r="K192" s="319" t="s">
        <v>79</v>
      </c>
      <c r="L192" s="320"/>
      <c r="M192" s="323"/>
    </row>
    <row r="193" spans="1:13">
      <c r="A193" s="496">
        <v>246072014</v>
      </c>
      <c r="B193" s="380" t="s">
        <v>432</v>
      </c>
      <c r="C193" s="382">
        <v>41785</v>
      </c>
      <c r="D193" s="380">
        <v>630822015</v>
      </c>
      <c r="E193" s="338" t="s">
        <v>780</v>
      </c>
      <c r="F193" s="578">
        <v>111146.47</v>
      </c>
      <c r="G193" s="395">
        <f t="shared" si="0"/>
        <v>5292.6890476190483</v>
      </c>
      <c r="H193" s="397">
        <v>0.05</v>
      </c>
      <c r="I193" s="395">
        <f t="shared" si="1"/>
        <v>5292.6890476190456</v>
      </c>
      <c r="J193" s="395">
        <f t="shared" si="2"/>
        <v>5292.6890476190456</v>
      </c>
      <c r="K193" s="338" t="s">
        <v>79</v>
      </c>
      <c r="L193" s="341"/>
      <c r="M193" s="343"/>
    </row>
    <row r="194" spans="1:13">
      <c r="A194" s="496">
        <v>246072014</v>
      </c>
      <c r="B194" s="380" t="s">
        <v>432</v>
      </c>
      <c r="C194" s="382">
        <v>41785</v>
      </c>
      <c r="D194" s="380">
        <v>630782015</v>
      </c>
      <c r="E194" s="338" t="s">
        <v>782</v>
      </c>
      <c r="F194" s="578">
        <v>114985.54</v>
      </c>
      <c r="G194" s="395">
        <f t="shared" si="0"/>
        <v>5475.5019047619044</v>
      </c>
      <c r="H194" s="397">
        <v>0.05</v>
      </c>
      <c r="I194" s="395">
        <f t="shared" si="1"/>
        <v>5475.5019047619135</v>
      </c>
      <c r="J194" s="395">
        <f t="shared" si="2"/>
        <v>5475.5019047619135</v>
      </c>
      <c r="K194" s="338" t="s">
        <v>79</v>
      </c>
      <c r="L194" s="341"/>
      <c r="M194" s="343"/>
    </row>
    <row r="195" spans="1:13">
      <c r="A195" s="496">
        <v>246072014</v>
      </c>
      <c r="B195" s="380" t="s">
        <v>432</v>
      </c>
      <c r="C195" s="382">
        <v>41785</v>
      </c>
      <c r="D195" s="380">
        <v>630842015</v>
      </c>
      <c r="E195" s="338" t="s">
        <v>784</v>
      </c>
      <c r="F195" s="578">
        <v>121768.27</v>
      </c>
      <c r="G195" s="395">
        <f t="shared" si="0"/>
        <v>5798.4890476190485</v>
      </c>
      <c r="H195" s="397">
        <v>0.05</v>
      </c>
      <c r="I195" s="395">
        <f t="shared" si="1"/>
        <v>5798.4890476190485</v>
      </c>
      <c r="J195" s="395">
        <f t="shared" si="2"/>
        <v>5798.4890476190485</v>
      </c>
      <c r="K195" s="338" t="s">
        <v>79</v>
      </c>
      <c r="L195" s="526" t="s">
        <v>81</v>
      </c>
      <c r="M195" s="343"/>
    </row>
    <row r="196" spans="1:13">
      <c r="A196" s="496">
        <v>246072014</v>
      </c>
      <c r="B196" s="380" t="s">
        <v>432</v>
      </c>
      <c r="C196" s="382">
        <v>41785</v>
      </c>
      <c r="D196" s="380">
        <v>630712015</v>
      </c>
      <c r="E196" s="338" t="s">
        <v>787</v>
      </c>
      <c r="F196" s="578">
        <v>166735.66</v>
      </c>
      <c r="G196" s="395">
        <f t="shared" si="0"/>
        <v>7939.793333333334</v>
      </c>
      <c r="H196" s="397">
        <v>0.05</v>
      </c>
      <c r="I196" s="395">
        <f t="shared" si="1"/>
        <v>7939.7933333333349</v>
      </c>
      <c r="J196" s="395">
        <f t="shared" si="2"/>
        <v>7939.7933333333349</v>
      </c>
      <c r="K196" s="338" t="s">
        <v>79</v>
      </c>
      <c r="L196" s="341"/>
      <c r="M196" s="343"/>
    </row>
    <row r="197" spans="1:13">
      <c r="A197" s="496">
        <v>246072014</v>
      </c>
      <c r="B197" s="380" t="s">
        <v>432</v>
      </c>
      <c r="C197" s="382">
        <v>41785</v>
      </c>
      <c r="D197" s="380">
        <v>630802015</v>
      </c>
      <c r="E197" s="338" t="s">
        <v>790</v>
      </c>
      <c r="F197" s="578">
        <v>152930.07999999999</v>
      </c>
      <c r="G197" s="395">
        <f t="shared" si="0"/>
        <v>7282.384761904761</v>
      </c>
      <c r="H197" s="397">
        <v>0.05</v>
      </c>
      <c r="I197" s="395">
        <f t="shared" si="1"/>
        <v>7282.3847619047738</v>
      </c>
      <c r="J197" s="395">
        <f t="shared" si="2"/>
        <v>7282.3847619047738</v>
      </c>
      <c r="K197" s="338" t="s">
        <v>79</v>
      </c>
      <c r="L197" s="341"/>
      <c r="M197" s="343"/>
    </row>
    <row r="198" spans="1:13">
      <c r="A198" s="496">
        <v>246072014</v>
      </c>
      <c r="B198" s="380" t="s">
        <v>432</v>
      </c>
      <c r="C198" s="382">
        <v>41785</v>
      </c>
      <c r="D198" s="380">
        <v>630602015</v>
      </c>
      <c r="E198" s="338" t="s">
        <v>792</v>
      </c>
      <c r="F198" s="578">
        <v>153154.51</v>
      </c>
      <c r="G198" s="395">
        <f t="shared" si="0"/>
        <v>7293.071904761905</v>
      </c>
      <c r="H198" s="397">
        <v>0.05</v>
      </c>
      <c r="I198" s="395">
        <f t="shared" si="1"/>
        <v>7293.0719047619205</v>
      </c>
      <c r="J198" s="395">
        <f t="shared" si="2"/>
        <v>7293.0719047619205</v>
      </c>
      <c r="K198" s="338" t="s">
        <v>79</v>
      </c>
      <c r="L198" s="341"/>
      <c r="M198" s="343"/>
    </row>
    <row r="199" spans="1:13">
      <c r="A199" s="496">
        <v>246072014</v>
      </c>
      <c r="B199" s="380" t="s">
        <v>432</v>
      </c>
      <c r="C199" s="382">
        <v>41785</v>
      </c>
      <c r="D199" s="380">
        <v>630852015</v>
      </c>
      <c r="E199" s="338" t="s">
        <v>794</v>
      </c>
      <c r="F199" s="578">
        <v>149369.65</v>
      </c>
      <c r="G199" s="395">
        <f t="shared" si="0"/>
        <v>7112.8404761904767</v>
      </c>
      <c r="H199" s="397">
        <v>0.05</v>
      </c>
      <c r="I199" s="395">
        <f t="shared" si="1"/>
        <v>7112.8404761904676</v>
      </c>
      <c r="J199" s="395">
        <f t="shared" si="2"/>
        <v>7112.8404761904676</v>
      </c>
      <c r="K199" s="338" t="s">
        <v>79</v>
      </c>
      <c r="L199" s="341"/>
      <c r="M199" s="343"/>
    </row>
    <row r="200" spans="1:13">
      <c r="A200" s="496">
        <v>246072014</v>
      </c>
      <c r="B200" s="380" t="s">
        <v>432</v>
      </c>
      <c r="C200" s="382">
        <v>41785</v>
      </c>
      <c r="D200" s="380">
        <v>630862015</v>
      </c>
      <c r="E200" s="338" t="s">
        <v>796</v>
      </c>
      <c r="F200" s="578">
        <v>122595.24</v>
      </c>
      <c r="G200" s="395">
        <f t="shared" si="0"/>
        <v>5837.8685714285712</v>
      </c>
      <c r="H200" s="397">
        <v>0.05</v>
      </c>
      <c r="I200" s="395">
        <f t="shared" si="1"/>
        <v>5837.8685714285821</v>
      </c>
      <c r="J200" s="395">
        <f t="shared" si="2"/>
        <v>5837.8685714285821</v>
      </c>
      <c r="K200" s="338" t="s">
        <v>79</v>
      </c>
      <c r="L200" s="341"/>
      <c r="M200" s="343"/>
    </row>
    <row r="201" spans="1:13">
      <c r="A201" s="496">
        <v>246072014</v>
      </c>
      <c r="B201" s="380" t="s">
        <v>432</v>
      </c>
      <c r="C201" s="382">
        <v>41785</v>
      </c>
      <c r="D201" s="380">
        <v>630652015</v>
      </c>
      <c r="E201" s="338" t="s">
        <v>797</v>
      </c>
      <c r="F201" s="578">
        <v>188859.39</v>
      </c>
      <c r="G201" s="395">
        <f t="shared" si="0"/>
        <v>8993.3042857142864</v>
      </c>
      <c r="H201" s="397">
        <v>0.05</v>
      </c>
      <c r="I201" s="395">
        <f t="shared" si="1"/>
        <v>8993.3042857142864</v>
      </c>
      <c r="J201" s="395">
        <f t="shared" si="2"/>
        <v>8993.3042857142864</v>
      </c>
      <c r="K201" s="338" t="s">
        <v>79</v>
      </c>
      <c r="L201" s="341"/>
      <c r="M201" s="343"/>
    </row>
    <row r="202" spans="1:13">
      <c r="A202" s="496">
        <v>246072014</v>
      </c>
      <c r="B202" s="380" t="s">
        <v>432</v>
      </c>
      <c r="C202" s="382">
        <v>41785</v>
      </c>
      <c r="D202" s="380">
        <v>630772015</v>
      </c>
      <c r="E202" s="338" t="s">
        <v>800</v>
      </c>
      <c r="F202" s="578">
        <v>82372.240000000005</v>
      </c>
      <c r="G202" s="395">
        <f t="shared" si="0"/>
        <v>3922.4876190476193</v>
      </c>
      <c r="H202" s="397">
        <v>0.05</v>
      </c>
      <c r="I202" s="395">
        <f t="shared" si="1"/>
        <v>3922.4876190476207</v>
      </c>
      <c r="J202" s="395">
        <f t="shared" si="2"/>
        <v>3922.4876190476207</v>
      </c>
      <c r="K202" s="338" t="s">
        <v>79</v>
      </c>
      <c r="L202" s="341"/>
      <c r="M202" s="343"/>
    </row>
    <row r="203" spans="1:13">
      <c r="A203" s="496">
        <v>246072014</v>
      </c>
      <c r="B203" s="380" t="s">
        <v>432</v>
      </c>
      <c r="C203" s="382">
        <v>41785</v>
      </c>
      <c r="D203" s="380">
        <v>630812015</v>
      </c>
      <c r="E203" s="338" t="s">
        <v>801</v>
      </c>
      <c r="F203" s="578">
        <v>146939.63</v>
      </c>
      <c r="G203" s="395">
        <f t="shared" si="0"/>
        <v>6997.1252380952392</v>
      </c>
      <c r="H203" s="397">
        <v>0.05</v>
      </c>
      <c r="I203" s="395">
        <f t="shared" si="1"/>
        <v>6997.1252380952355</v>
      </c>
      <c r="J203" s="395">
        <f t="shared" si="2"/>
        <v>6997.1252380952355</v>
      </c>
      <c r="K203" s="338" t="s">
        <v>79</v>
      </c>
      <c r="L203" s="341"/>
      <c r="M203" s="343"/>
    </row>
    <row r="204" spans="1:13">
      <c r="A204" s="496">
        <v>246072014</v>
      </c>
      <c r="B204" s="380" t="s">
        <v>432</v>
      </c>
      <c r="C204" s="382">
        <v>41785</v>
      </c>
      <c r="D204" s="380">
        <v>630792015</v>
      </c>
      <c r="E204" s="338" t="s">
        <v>804</v>
      </c>
      <c r="F204" s="578">
        <v>111271.69</v>
      </c>
      <c r="G204" s="395">
        <f t="shared" si="0"/>
        <v>5298.6519047619049</v>
      </c>
      <c r="H204" s="397">
        <v>0.05</v>
      </c>
      <c r="I204" s="395">
        <f t="shared" si="1"/>
        <v>5298.6519047619076</v>
      </c>
      <c r="J204" s="395">
        <f t="shared" si="2"/>
        <v>5298.6519047619076</v>
      </c>
      <c r="K204" s="338" t="s">
        <v>79</v>
      </c>
      <c r="L204" s="341"/>
      <c r="M204" s="343"/>
    </row>
    <row r="205" spans="1:13">
      <c r="A205" s="496">
        <v>246072014</v>
      </c>
      <c r="B205" s="380" t="s">
        <v>432</v>
      </c>
      <c r="C205" s="382">
        <v>41785</v>
      </c>
      <c r="D205" s="380">
        <v>630662015</v>
      </c>
      <c r="E205" s="338" t="s">
        <v>805</v>
      </c>
      <c r="F205" s="578">
        <v>150770.32999999999</v>
      </c>
      <c r="G205" s="395">
        <f t="shared" si="0"/>
        <v>7179.5395238095225</v>
      </c>
      <c r="H205" s="397">
        <v>0.05</v>
      </c>
      <c r="I205" s="395">
        <f t="shared" si="1"/>
        <v>7179.5395238095371</v>
      </c>
      <c r="J205" s="395">
        <f t="shared" si="2"/>
        <v>7179.5395238095371</v>
      </c>
      <c r="K205" s="338" t="s">
        <v>79</v>
      </c>
      <c r="L205" s="341"/>
      <c r="M205" s="343"/>
    </row>
    <row r="206" spans="1:13">
      <c r="A206" s="562">
        <v>246072014</v>
      </c>
      <c r="B206" s="387" t="s">
        <v>432</v>
      </c>
      <c r="C206" s="388">
        <v>41785</v>
      </c>
      <c r="D206" s="387">
        <v>630722015</v>
      </c>
      <c r="E206" s="361" t="s">
        <v>807</v>
      </c>
      <c r="F206" s="580">
        <v>523622.55</v>
      </c>
      <c r="G206" s="401">
        <f t="shared" si="0"/>
        <v>24934.407142857144</v>
      </c>
      <c r="H206" s="403">
        <v>0.05</v>
      </c>
      <c r="I206" s="401">
        <f t="shared" si="1"/>
        <v>24934.407142857148</v>
      </c>
      <c r="J206" s="401">
        <f t="shared" si="2"/>
        <v>24934.407142857148</v>
      </c>
      <c r="K206" s="361" t="s">
        <v>254</v>
      </c>
      <c r="L206" s="363"/>
      <c r="M206" s="365"/>
    </row>
    <row r="207" spans="1:13">
      <c r="A207" s="557">
        <v>136192002</v>
      </c>
      <c r="B207" s="274"/>
      <c r="C207" s="275"/>
      <c r="D207" s="274">
        <v>182362015</v>
      </c>
      <c r="E207" s="293" t="s">
        <v>810</v>
      </c>
      <c r="F207" s="280">
        <v>89889.97</v>
      </c>
      <c r="G207" s="283">
        <f t="shared" si="0"/>
        <v>8988.9970000000012</v>
      </c>
      <c r="H207" s="286"/>
      <c r="I207" s="283">
        <f t="shared" si="1"/>
        <v>0</v>
      </c>
      <c r="J207" s="283">
        <f t="shared" si="2"/>
        <v>0</v>
      </c>
      <c r="K207" s="293" t="s">
        <v>812</v>
      </c>
      <c r="L207" s="295"/>
      <c r="M207" s="297"/>
    </row>
    <row r="208" spans="1:13">
      <c r="A208" s="485">
        <v>16222003</v>
      </c>
      <c r="B208" s="375"/>
      <c r="C208" s="376"/>
      <c r="D208" s="375">
        <v>177812015</v>
      </c>
      <c r="E208" s="319" t="s">
        <v>814</v>
      </c>
      <c r="F208" s="487">
        <v>61069.96</v>
      </c>
      <c r="G208" s="315">
        <f t="shared" si="0"/>
        <v>6106.9960000000001</v>
      </c>
      <c r="H208" s="317"/>
      <c r="I208" s="315">
        <f t="shared" si="1"/>
        <v>0</v>
      </c>
      <c r="J208" s="315">
        <f t="shared" si="2"/>
        <v>0</v>
      </c>
      <c r="K208" s="319" t="s">
        <v>816</v>
      </c>
      <c r="L208" s="320"/>
      <c r="M208" s="323"/>
    </row>
    <row r="209" spans="1:13">
      <c r="A209" s="496">
        <v>16222003</v>
      </c>
      <c r="B209" s="380"/>
      <c r="C209" s="382"/>
      <c r="D209" s="380">
        <v>177752015</v>
      </c>
      <c r="E209" s="338" t="s">
        <v>817</v>
      </c>
      <c r="F209" s="578">
        <v>52713.2</v>
      </c>
      <c r="G209" s="395">
        <f t="shared" si="0"/>
        <v>5271.32</v>
      </c>
      <c r="H209" s="397"/>
      <c r="I209" s="395">
        <f t="shared" si="1"/>
        <v>0</v>
      </c>
      <c r="J209" s="395">
        <f t="shared" si="2"/>
        <v>0</v>
      </c>
      <c r="K209" s="338" t="s">
        <v>79</v>
      </c>
      <c r="L209" s="341"/>
      <c r="M209" s="343"/>
    </row>
    <row r="210" spans="1:13">
      <c r="A210" s="496">
        <v>16222003</v>
      </c>
      <c r="B210" s="380"/>
      <c r="C210" s="382"/>
      <c r="D210" s="380">
        <v>177762015</v>
      </c>
      <c r="E210" s="338" t="s">
        <v>819</v>
      </c>
      <c r="F210" s="578">
        <v>51275.87</v>
      </c>
      <c r="G210" s="395">
        <f t="shared" si="0"/>
        <v>5127.5870000000004</v>
      </c>
      <c r="H210" s="397"/>
      <c r="I210" s="395">
        <f t="shared" si="1"/>
        <v>0</v>
      </c>
      <c r="J210" s="395">
        <f t="shared" si="2"/>
        <v>0</v>
      </c>
      <c r="K210" s="338" t="s">
        <v>79</v>
      </c>
      <c r="L210" s="341"/>
      <c r="M210" s="343"/>
    </row>
    <row r="211" spans="1:13">
      <c r="A211" s="496">
        <v>16222003</v>
      </c>
      <c r="B211" s="380"/>
      <c r="C211" s="382"/>
      <c r="D211" s="380">
        <v>177782015</v>
      </c>
      <c r="E211" s="338" t="s">
        <v>821</v>
      </c>
      <c r="F211" s="578">
        <v>100118.65</v>
      </c>
      <c r="G211" s="395">
        <f t="shared" si="0"/>
        <v>10011.865</v>
      </c>
      <c r="H211" s="397"/>
      <c r="I211" s="395">
        <f t="shared" si="1"/>
        <v>0</v>
      </c>
      <c r="J211" s="395">
        <f t="shared" si="2"/>
        <v>0</v>
      </c>
      <c r="K211" s="338" t="s">
        <v>79</v>
      </c>
      <c r="L211" s="341"/>
      <c r="M211" s="343"/>
    </row>
    <row r="212" spans="1:13">
      <c r="A212" s="562">
        <v>16222003</v>
      </c>
      <c r="B212" s="387"/>
      <c r="C212" s="388"/>
      <c r="D212" s="387">
        <v>177792015</v>
      </c>
      <c r="E212" s="361" t="s">
        <v>823</v>
      </c>
      <c r="F212" s="577"/>
      <c r="G212" s="401">
        <f t="shared" si="0"/>
        <v>0</v>
      </c>
      <c r="H212" s="403"/>
      <c r="I212" s="401">
        <f t="shared" si="1"/>
        <v>0</v>
      </c>
      <c r="J212" s="401">
        <f t="shared" si="2"/>
        <v>0</v>
      </c>
      <c r="K212" s="361" t="s">
        <v>79</v>
      </c>
      <c r="L212" s="363"/>
      <c r="M212" s="365"/>
    </row>
    <row r="213" spans="1:13">
      <c r="A213" s="485">
        <v>53262013</v>
      </c>
      <c r="B213" s="375"/>
      <c r="C213" s="376"/>
      <c r="D213" s="375">
        <v>269812015</v>
      </c>
      <c r="E213" s="319" t="s">
        <v>826</v>
      </c>
      <c r="F213" s="487">
        <v>80586.34</v>
      </c>
      <c r="G213" s="315">
        <f t="shared" si="0"/>
        <v>8058.634</v>
      </c>
      <c r="H213" s="317"/>
      <c r="I213" s="315">
        <f t="shared" si="1"/>
        <v>0</v>
      </c>
      <c r="J213" s="315">
        <f t="shared" si="2"/>
        <v>0</v>
      </c>
      <c r="K213" s="319" t="s">
        <v>148</v>
      </c>
      <c r="L213" s="320"/>
      <c r="M213" s="323"/>
    </row>
    <row r="214" spans="1:13">
      <c r="A214" s="496">
        <v>53262013</v>
      </c>
      <c r="B214" s="380"/>
      <c r="C214" s="382"/>
      <c r="D214" s="380">
        <v>269602015</v>
      </c>
      <c r="E214" s="338" t="s">
        <v>827</v>
      </c>
      <c r="F214" s="566"/>
      <c r="G214" s="395">
        <f t="shared" si="0"/>
        <v>0</v>
      </c>
      <c r="H214" s="397"/>
      <c r="I214" s="395">
        <f t="shared" si="1"/>
        <v>0</v>
      </c>
      <c r="J214" s="395">
        <f t="shared" si="2"/>
        <v>0</v>
      </c>
      <c r="K214" s="338" t="s">
        <v>79</v>
      </c>
      <c r="L214" s="341"/>
      <c r="M214" s="343"/>
    </row>
    <row r="215" spans="1:13">
      <c r="A215" s="496">
        <v>53262013</v>
      </c>
      <c r="B215" s="380"/>
      <c r="C215" s="382"/>
      <c r="D215" s="380">
        <v>269692015</v>
      </c>
      <c r="E215" s="338" t="s">
        <v>831</v>
      </c>
      <c r="F215" s="578">
        <v>39950.620000000003</v>
      </c>
      <c r="G215" s="395">
        <f t="shared" si="0"/>
        <v>3995.0620000000004</v>
      </c>
      <c r="H215" s="397"/>
      <c r="I215" s="395">
        <f t="shared" si="1"/>
        <v>0</v>
      </c>
      <c r="J215" s="395">
        <f t="shared" si="2"/>
        <v>0</v>
      </c>
      <c r="K215" s="338" t="s">
        <v>79</v>
      </c>
      <c r="L215" s="341"/>
      <c r="M215" s="343"/>
    </row>
    <row r="216" spans="1:13">
      <c r="A216" s="562">
        <v>53262013</v>
      </c>
      <c r="B216" s="387" t="s">
        <v>432</v>
      </c>
      <c r="C216" s="388">
        <v>41313</v>
      </c>
      <c r="D216" s="387">
        <v>269362015</v>
      </c>
      <c r="E216" s="361" t="s">
        <v>617</v>
      </c>
      <c r="F216" s="580">
        <v>40246.71</v>
      </c>
      <c r="G216" s="401">
        <f t="shared" si="0"/>
        <v>1916.51</v>
      </c>
      <c r="H216" s="403">
        <v>0.05</v>
      </c>
      <c r="I216" s="401">
        <f t="shared" si="1"/>
        <v>1916.510000000002</v>
      </c>
      <c r="J216" s="401">
        <f t="shared" si="2"/>
        <v>1916.510000000002</v>
      </c>
      <c r="K216" s="361" t="s">
        <v>79</v>
      </c>
      <c r="L216" s="582" t="s">
        <v>81</v>
      </c>
      <c r="M216" s="365"/>
    </row>
    <row r="217" spans="1:13">
      <c r="A217" s="485">
        <v>211612002</v>
      </c>
      <c r="B217" s="375"/>
      <c r="C217" s="376"/>
      <c r="D217" s="375">
        <v>119582015</v>
      </c>
      <c r="E217" s="319" t="s">
        <v>839</v>
      </c>
      <c r="F217" s="487">
        <v>54887.43</v>
      </c>
      <c r="G217" s="315">
        <f t="shared" si="0"/>
        <v>5488.7430000000004</v>
      </c>
      <c r="H217" s="317"/>
      <c r="I217" s="315">
        <f t="shared" si="1"/>
        <v>0</v>
      </c>
      <c r="J217" s="315">
        <f t="shared" si="2"/>
        <v>0</v>
      </c>
      <c r="K217" s="319" t="s">
        <v>841</v>
      </c>
      <c r="L217" s="320"/>
      <c r="M217" s="323"/>
    </row>
    <row r="218" spans="1:13">
      <c r="A218" s="496">
        <v>211612002</v>
      </c>
      <c r="B218" s="380"/>
      <c r="C218" s="382"/>
      <c r="D218" s="380">
        <v>119592015</v>
      </c>
      <c r="E218" s="338" t="s">
        <v>842</v>
      </c>
      <c r="F218" s="566"/>
      <c r="G218" s="583">
        <f t="shared" si="0"/>
        <v>0</v>
      </c>
      <c r="H218" s="584"/>
      <c r="I218" s="583">
        <f t="shared" si="1"/>
        <v>0</v>
      </c>
      <c r="J218" s="583">
        <f t="shared" si="2"/>
        <v>0</v>
      </c>
      <c r="K218" s="330"/>
      <c r="L218" s="341"/>
      <c r="M218" s="343"/>
    </row>
    <row r="219" spans="1:13">
      <c r="A219" s="562">
        <v>211612002</v>
      </c>
      <c r="B219" s="387"/>
      <c r="C219" s="388"/>
      <c r="D219" s="387">
        <v>119572015</v>
      </c>
      <c r="E219" s="361" t="s">
        <v>846</v>
      </c>
      <c r="F219" s="580">
        <v>36135.18</v>
      </c>
      <c r="G219" s="401">
        <f t="shared" si="0"/>
        <v>3613.518</v>
      </c>
      <c r="H219" s="403"/>
      <c r="I219" s="401">
        <f t="shared" si="1"/>
        <v>0</v>
      </c>
      <c r="J219" s="401">
        <f t="shared" si="2"/>
        <v>0</v>
      </c>
      <c r="K219" s="361" t="s">
        <v>848</v>
      </c>
      <c r="L219" s="363"/>
      <c r="M219" s="365"/>
    </row>
    <row r="220" spans="1:13">
      <c r="A220" s="485">
        <v>166482002</v>
      </c>
      <c r="B220" s="375"/>
      <c r="C220" s="376"/>
      <c r="D220" s="375">
        <v>90512015</v>
      </c>
      <c r="E220" s="319" t="s">
        <v>849</v>
      </c>
      <c r="F220" s="487">
        <v>35608.19</v>
      </c>
      <c r="G220" s="315">
        <f t="shared" si="0"/>
        <v>3560.8190000000004</v>
      </c>
      <c r="H220" s="317"/>
      <c r="I220" s="315">
        <f t="shared" si="1"/>
        <v>0</v>
      </c>
      <c r="J220" s="315">
        <f t="shared" si="2"/>
        <v>0</v>
      </c>
      <c r="K220" s="319" t="s">
        <v>841</v>
      </c>
      <c r="L220" s="320"/>
      <c r="M220" s="323"/>
    </row>
    <row r="221" spans="1:13">
      <c r="A221" s="496">
        <v>166482002</v>
      </c>
      <c r="B221" s="380"/>
      <c r="C221" s="382"/>
      <c r="D221" s="380">
        <v>90382015</v>
      </c>
      <c r="E221" s="338" t="s">
        <v>851</v>
      </c>
      <c r="F221" s="566"/>
      <c r="G221" s="583">
        <f t="shared" si="0"/>
        <v>0</v>
      </c>
      <c r="H221" s="584"/>
      <c r="I221" s="583">
        <f t="shared" si="1"/>
        <v>0</v>
      </c>
      <c r="J221" s="583">
        <f t="shared" si="2"/>
        <v>0</v>
      </c>
      <c r="K221" s="330"/>
      <c r="L221" s="341"/>
      <c r="M221" s="343"/>
    </row>
    <row r="222" spans="1:13">
      <c r="A222" s="496">
        <v>166482002</v>
      </c>
      <c r="B222" s="380"/>
      <c r="C222" s="382"/>
      <c r="D222" s="380">
        <v>90412015</v>
      </c>
      <c r="E222" s="338" t="s">
        <v>853</v>
      </c>
      <c r="F222" s="578">
        <v>157912.85</v>
      </c>
      <c r="G222" s="395">
        <f t="shared" si="0"/>
        <v>15791.285000000002</v>
      </c>
      <c r="H222" s="397"/>
      <c r="I222" s="395">
        <f t="shared" si="1"/>
        <v>0</v>
      </c>
      <c r="J222" s="395">
        <f t="shared" si="2"/>
        <v>0</v>
      </c>
      <c r="K222" s="338" t="s">
        <v>79</v>
      </c>
      <c r="L222" s="341"/>
      <c r="M222" s="343"/>
    </row>
    <row r="223" spans="1:13">
      <c r="A223" s="496">
        <v>166482002</v>
      </c>
      <c r="B223" s="380"/>
      <c r="C223" s="382"/>
      <c r="D223" s="380">
        <v>90472015</v>
      </c>
      <c r="E223" s="338" t="s">
        <v>855</v>
      </c>
      <c r="F223" s="578">
        <v>62976.58</v>
      </c>
      <c r="G223" s="395">
        <f t="shared" si="0"/>
        <v>6297.6580000000004</v>
      </c>
      <c r="H223" s="397"/>
      <c r="I223" s="395">
        <f t="shared" si="1"/>
        <v>0</v>
      </c>
      <c r="J223" s="395">
        <f t="shared" si="2"/>
        <v>0</v>
      </c>
      <c r="K223" s="338" t="s">
        <v>79</v>
      </c>
      <c r="L223" s="341"/>
      <c r="M223" s="343"/>
    </row>
    <row r="224" spans="1:13">
      <c r="A224" s="562">
        <v>166482002</v>
      </c>
      <c r="B224" s="387"/>
      <c r="C224" s="388"/>
      <c r="D224" s="387">
        <v>90502015</v>
      </c>
      <c r="E224" s="361" t="s">
        <v>857</v>
      </c>
      <c r="F224" s="580">
        <v>155057.23000000001</v>
      </c>
      <c r="G224" s="401">
        <f t="shared" si="0"/>
        <v>15505.723000000002</v>
      </c>
      <c r="H224" s="403"/>
      <c r="I224" s="401">
        <f t="shared" si="1"/>
        <v>0</v>
      </c>
      <c r="J224" s="401">
        <f t="shared" si="2"/>
        <v>0</v>
      </c>
      <c r="K224" s="361" t="s">
        <v>79</v>
      </c>
      <c r="L224" s="363"/>
      <c r="M224" s="365"/>
    </row>
    <row r="225" spans="1:13">
      <c r="A225" s="485">
        <v>16322003</v>
      </c>
      <c r="B225" s="375"/>
      <c r="C225" s="376"/>
      <c r="D225" s="375">
        <v>11452015</v>
      </c>
      <c r="E225" s="319" t="s">
        <v>860</v>
      </c>
      <c r="F225" s="487">
        <v>107876.56</v>
      </c>
      <c r="G225" s="315">
        <f t="shared" si="0"/>
        <v>10787.656000000001</v>
      </c>
      <c r="H225" s="317"/>
      <c r="I225" s="315">
        <f t="shared" si="1"/>
        <v>0</v>
      </c>
      <c r="J225" s="315">
        <f t="shared" si="2"/>
        <v>0</v>
      </c>
      <c r="K225" s="319" t="s">
        <v>79</v>
      </c>
      <c r="L225" s="320"/>
      <c r="M225" s="323"/>
    </row>
    <row r="226" spans="1:13">
      <c r="A226" s="496">
        <v>16322003</v>
      </c>
      <c r="B226" s="380"/>
      <c r="C226" s="382"/>
      <c r="D226" s="380">
        <v>11652015</v>
      </c>
      <c r="E226" s="338" t="s">
        <v>863</v>
      </c>
      <c r="F226" s="578">
        <v>127943.36</v>
      </c>
      <c r="G226" s="395">
        <f t="shared" si="0"/>
        <v>12794.336000000001</v>
      </c>
      <c r="H226" s="397"/>
      <c r="I226" s="395">
        <f t="shared" si="1"/>
        <v>0</v>
      </c>
      <c r="J226" s="395">
        <f t="shared" si="2"/>
        <v>0</v>
      </c>
      <c r="K226" s="338" t="s">
        <v>388</v>
      </c>
      <c r="L226" s="341"/>
      <c r="M226" s="343"/>
    </row>
    <row r="227" spans="1:13">
      <c r="A227" s="496">
        <v>16322003</v>
      </c>
      <c r="B227" s="380"/>
      <c r="C227" s="382"/>
      <c r="D227" s="380">
        <v>11672015</v>
      </c>
      <c r="E227" s="338" t="s">
        <v>866</v>
      </c>
      <c r="F227" s="578">
        <v>137943.35999999999</v>
      </c>
      <c r="G227" s="395">
        <f t="shared" si="0"/>
        <v>13794.335999999999</v>
      </c>
      <c r="H227" s="397"/>
      <c r="I227" s="395">
        <f t="shared" si="1"/>
        <v>0</v>
      </c>
      <c r="J227" s="395">
        <f t="shared" si="2"/>
        <v>0</v>
      </c>
      <c r="K227" s="338" t="s">
        <v>79</v>
      </c>
      <c r="L227" s="341"/>
      <c r="M227" s="343"/>
    </row>
    <row r="228" spans="1:13">
      <c r="A228" s="562">
        <v>16322003</v>
      </c>
      <c r="B228" s="387"/>
      <c r="C228" s="388"/>
      <c r="D228" s="387">
        <v>11662015</v>
      </c>
      <c r="E228" s="361" t="s">
        <v>868</v>
      </c>
      <c r="F228" s="577"/>
      <c r="G228" s="585">
        <f t="shared" si="0"/>
        <v>0</v>
      </c>
      <c r="H228" s="586"/>
      <c r="I228" s="585">
        <f t="shared" si="1"/>
        <v>0</v>
      </c>
      <c r="J228" s="585">
        <f t="shared" si="2"/>
        <v>0</v>
      </c>
      <c r="K228" s="354"/>
      <c r="L228" s="363"/>
      <c r="M228" s="365"/>
    </row>
    <row r="229" spans="1:13">
      <c r="A229" s="557">
        <v>434742010</v>
      </c>
      <c r="B229" s="274" t="s">
        <v>22</v>
      </c>
      <c r="C229" s="275">
        <v>40540</v>
      </c>
      <c r="D229" s="274">
        <v>310452015</v>
      </c>
      <c r="E229" s="293" t="s">
        <v>874</v>
      </c>
      <c r="F229" s="280">
        <v>39944.300000000003</v>
      </c>
      <c r="G229" s="587">
        <f t="shared" si="0"/>
        <v>3631.3</v>
      </c>
      <c r="H229" s="286">
        <v>0.1</v>
      </c>
      <c r="I229" s="587">
        <f t="shared" si="1"/>
        <v>3631.3000000000029</v>
      </c>
      <c r="J229" s="587">
        <f t="shared" si="2"/>
        <v>2389.3954000000022</v>
      </c>
      <c r="K229" s="279"/>
      <c r="L229" s="295"/>
      <c r="M229" s="297"/>
    </row>
    <row r="230" spans="1:13">
      <c r="A230" s="485">
        <v>7102002</v>
      </c>
      <c r="B230" s="588" t="s">
        <v>22</v>
      </c>
      <c r="C230" s="376">
        <v>37274</v>
      </c>
      <c r="D230" s="375">
        <v>311272015</v>
      </c>
      <c r="E230" s="319" t="s">
        <v>880</v>
      </c>
      <c r="F230" s="487">
        <v>90708.6</v>
      </c>
      <c r="G230" s="589">
        <f t="shared" si="0"/>
        <v>9070.86</v>
      </c>
      <c r="H230" s="590"/>
      <c r="I230" s="589">
        <f t="shared" si="1"/>
        <v>0</v>
      </c>
      <c r="J230" s="589">
        <f t="shared" si="2"/>
        <v>0</v>
      </c>
      <c r="K230" s="319" t="s">
        <v>79</v>
      </c>
      <c r="L230" s="452" t="s">
        <v>81</v>
      </c>
      <c r="M230" s="323"/>
    </row>
    <row r="231" spans="1:13">
      <c r="A231" s="591">
        <v>7102002</v>
      </c>
      <c r="B231" s="592" t="s">
        <v>22</v>
      </c>
      <c r="C231" s="382">
        <v>37274</v>
      </c>
      <c r="D231" s="327"/>
      <c r="E231" s="338" t="s">
        <v>885</v>
      </c>
      <c r="F231" s="566"/>
      <c r="G231" s="583">
        <f t="shared" si="0"/>
        <v>0</v>
      </c>
      <c r="H231" s="584"/>
      <c r="I231" s="583">
        <f t="shared" si="1"/>
        <v>0</v>
      </c>
      <c r="J231" s="583">
        <f t="shared" si="2"/>
        <v>0</v>
      </c>
      <c r="K231" s="330"/>
      <c r="L231" s="341"/>
      <c r="M231" s="343"/>
    </row>
    <row r="232" spans="1:13">
      <c r="A232" s="593">
        <v>7102002</v>
      </c>
      <c r="B232" s="594" t="s">
        <v>22</v>
      </c>
      <c r="C232" s="388">
        <v>37274</v>
      </c>
      <c r="D232" s="387">
        <v>311432015</v>
      </c>
      <c r="E232" s="361" t="s">
        <v>887</v>
      </c>
      <c r="F232" s="580">
        <v>91201.98</v>
      </c>
      <c r="G232" s="585">
        <f t="shared" si="0"/>
        <v>9120.1980000000003</v>
      </c>
      <c r="H232" s="586"/>
      <c r="I232" s="585">
        <f t="shared" si="1"/>
        <v>0</v>
      </c>
      <c r="J232" s="585">
        <f t="shared" si="2"/>
        <v>0</v>
      </c>
      <c r="K232" s="361" t="s">
        <v>79</v>
      </c>
      <c r="L232" s="582" t="s">
        <v>81</v>
      </c>
      <c r="M232" s="365"/>
    </row>
    <row r="233" spans="1:13">
      <c r="A233" s="595"/>
      <c r="B233" s="595"/>
      <c r="C233" s="596"/>
      <c r="D233" s="595"/>
      <c r="E233" s="597"/>
      <c r="F233" s="566"/>
      <c r="G233" s="583">
        <f t="shared" si="0"/>
        <v>0</v>
      </c>
      <c r="H233" s="584"/>
      <c r="I233" s="583">
        <f t="shared" si="1"/>
        <v>0</v>
      </c>
      <c r="J233" s="583">
        <f t="shared" si="2"/>
        <v>0</v>
      </c>
      <c r="K233" s="597"/>
      <c r="L233" s="572"/>
      <c r="M233" s="572"/>
    </row>
    <row r="234" spans="1:13">
      <c r="A234" s="327"/>
      <c r="B234" s="327"/>
      <c r="C234" s="328"/>
      <c r="D234" s="327"/>
      <c r="E234" s="330"/>
      <c r="F234" s="566"/>
      <c r="G234" s="583">
        <f t="shared" si="0"/>
        <v>0</v>
      </c>
      <c r="H234" s="584"/>
      <c r="I234" s="583">
        <f t="shared" si="1"/>
        <v>0</v>
      </c>
      <c r="J234" s="583">
        <f t="shared" si="2"/>
        <v>0</v>
      </c>
      <c r="K234" s="330"/>
      <c r="L234" s="341"/>
      <c r="M234" s="341"/>
    </row>
    <row r="235" spans="1:13">
      <c r="A235" s="327"/>
      <c r="B235" s="327"/>
      <c r="C235" s="328"/>
      <c r="D235" s="327"/>
      <c r="E235" s="330"/>
      <c r="F235" s="566"/>
      <c r="G235" s="583">
        <f t="shared" si="0"/>
        <v>0</v>
      </c>
      <c r="H235" s="584"/>
      <c r="I235" s="583">
        <f t="shared" si="1"/>
        <v>0</v>
      </c>
      <c r="J235" s="583">
        <f t="shared" si="2"/>
        <v>0</v>
      </c>
      <c r="K235" s="330"/>
      <c r="L235" s="341"/>
      <c r="M235" s="341"/>
    </row>
    <row r="236" spans="1:13">
      <c r="A236" s="327"/>
      <c r="B236" s="327"/>
      <c r="C236" s="328"/>
      <c r="D236" s="327"/>
      <c r="E236" s="330"/>
      <c r="F236" s="566"/>
      <c r="G236" s="583">
        <f t="shared" si="0"/>
        <v>0</v>
      </c>
      <c r="H236" s="584"/>
      <c r="I236" s="583">
        <f t="shared" si="1"/>
        <v>0</v>
      </c>
      <c r="J236" s="583">
        <f t="shared" si="2"/>
        <v>0</v>
      </c>
      <c r="K236" s="330"/>
      <c r="L236" s="341"/>
      <c r="M236" s="341"/>
    </row>
    <row r="237" spans="1:13">
      <c r="A237" s="327"/>
      <c r="B237" s="327"/>
      <c r="C237" s="328"/>
      <c r="D237" s="327"/>
      <c r="E237" s="330"/>
      <c r="F237" s="566"/>
      <c r="G237" s="583">
        <f t="shared" si="0"/>
        <v>0</v>
      </c>
      <c r="H237" s="584"/>
      <c r="I237" s="583">
        <f t="shared" si="1"/>
        <v>0</v>
      </c>
      <c r="J237" s="583">
        <f t="shared" si="2"/>
        <v>0</v>
      </c>
      <c r="K237" s="330"/>
      <c r="L237" s="341"/>
      <c r="M237" s="341"/>
    </row>
    <row r="238" spans="1:13">
      <c r="A238" s="327"/>
      <c r="B238" s="327"/>
      <c r="C238" s="328"/>
      <c r="D238" s="327"/>
      <c r="E238" s="330"/>
      <c r="F238" s="566"/>
      <c r="G238" s="583">
        <f t="shared" si="0"/>
        <v>0</v>
      </c>
      <c r="H238" s="584"/>
      <c r="I238" s="583">
        <f t="shared" si="1"/>
        <v>0</v>
      </c>
      <c r="J238" s="583">
        <f t="shared" si="2"/>
        <v>0</v>
      </c>
      <c r="K238" s="330"/>
      <c r="L238" s="341"/>
      <c r="M238" s="341"/>
    </row>
    <row r="239" spans="1:13">
      <c r="A239" s="327"/>
      <c r="B239" s="327"/>
      <c r="C239" s="328"/>
      <c r="D239" s="327"/>
      <c r="E239" s="330"/>
      <c r="F239" s="566"/>
      <c r="G239" s="583">
        <f t="shared" si="0"/>
        <v>0</v>
      </c>
      <c r="H239" s="584"/>
      <c r="I239" s="583">
        <f t="shared" si="1"/>
        <v>0</v>
      </c>
      <c r="J239" s="583">
        <f t="shared" si="2"/>
        <v>0</v>
      </c>
      <c r="K239" s="330"/>
      <c r="L239" s="341"/>
      <c r="M239" s="341"/>
    </row>
    <row r="240" spans="1:13">
      <c r="A240" s="327"/>
      <c r="B240" s="327"/>
      <c r="C240" s="328"/>
      <c r="D240" s="327"/>
      <c r="E240" s="330"/>
      <c r="F240" s="566"/>
      <c r="G240" s="583">
        <f t="shared" si="0"/>
        <v>0</v>
      </c>
      <c r="H240" s="584"/>
      <c r="I240" s="583">
        <f t="shared" si="1"/>
        <v>0</v>
      </c>
      <c r="J240" s="583">
        <f t="shared" si="2"/>
        <v>0</v>
      </c>
      <c r="K240" s="330"/>
      <c r="L240" s="341"/>
      <c r="M240" s="341"/>
    </row>
    <row r="241" spans="1:13">
      <c r="A241" s="327"/>
      <c r="B241" s="327"/>
      <c r="C241" s="328"/>
      <c r="D241" s="327"/>
      <c r="E241" s="330"/>
      <c r="F241" s="566"/>
      <c r="G241" s="583">
        <f t="shared" si="0"/>
        <v>0</v>
      </c>
      <c r="H241" s="584"/>
      <c r="I241" s="583">
        <f t="shared" si="1"/>
        <v>0</v>
      </c>
      <c r="J241" s="583">
        <f t="shared" si="2"/>
        <v>0</v>
      </c>
      <c r="K241" s="330"/>
      <c r="L241" s="341"/>
      <c r="M241" s="341"/>
    </row>
    <row r="242" spans="1:13">
      <c r="A242" s="327"/>
      <c r="B242" s="327"/>
      <c r="C242" s="328"/>
      <c r="D242" s="327"/>
      <c r="E242" s="330"/>
      <c r="F242" s="502"/>
      <c r="G242" s="598">
        <f t="shared" si="0"/>
        <v>0</v>
      </c>
      <c r="H242" s="599"/>
      <c r="I242" s="598">
        <f t="shared" si="1"/>
        <v>0</v>
      </c>
      <c r="J242" s="598">
        <f t="shared" si="2"/>
        <v>0</v>
      </c>
      <c r="K242" s="330"/>
      <c r="L242" s="341"/>
      <c r="M242" s="341"/>
    </row>
    <row r="243" spans="1:13">
      <c r="A243" s="327"/>
      <c r="B243" s="327"/>
      <c r="C243" s="328"/>
      <c r="D243" s="327"/>
      <c r="E243" s="330"/>
      <c r="F243" s="502"/>
      <c r="G243" s="598">
        <f t="shared" si="0"/>
        <v>0</v>
      </c>
      <c r="H243" s="599"/>
      <c r="I243" s="598">
        <f t="shared" si="1"/>
        <v>0</v>
      </c>
      <c r="J243" s="598">
        <f t="shared" si="2"/>
        <v>0</v>
      </c>
      <c r="K243" s="330"/>
      <c r="L243" s="341"/>
      <c r="M243" s="341"/>
    </row>
    <row r="244" spans="1:13">
      <c r="A244" s="330"/>
      <c r="B244" s="330"/>
      <c r="C244" s="600"/>
      <c r="D244" s="330"/>
      <c r="E244" s="330"/>
      <c r="F244" s="502"/>
      <c r="G244" s="598">
        <f t="shared" si="0"/>
        <v>0</v>
      </c>
      <c r="H244" s="599"/>
      <c r="I244" s="602">
        <f t="shared" si="1"/>
        <v>0</v>
      </c>
      <c r="J244" s="602">
        <f t="shared" si="2"/>
        <v>0</v>
      </c>
      <c r="K244" s="330"/>
      <c r="L244" s="341"/>
      <c r="M244" s="341"/>
    </row>
    <row r="245" spans="1:13">
      <c r="A245" s="658" t="s">
        <v>176</v>
      </c>
      <c r="B245" s="652"/>
      <c r="C245" s="652"/>
      <c r="D245" s="652"/>
      <c r="E245" s="653"/>
      <c r="F245" s="609">
        <f t="shared" ref="F245:G245" si="3">SUM(F3:F244)</f>
        <v>20263662.75999999</v>
      </c>
      <c r="G245" s="609">
        <f t="shared" si="3"/>
        <v>1359946.8689307356</v>
      </c>
      <c r="H245" s="611"/>
      <c r="I245" s="614">
        <f t="shared" ref="I245:J245" si="4">SUM(I3:I244)</f>
        <v>718803.06593073625</v>
      </c>
      <c r="J245" s="614">
        <f t="shared" si="4"/>
        <v>675603.51149619115</v>
      </c>
      <c r="K245" s="616"/>
      <c r="L245" s="618"/>
      <c r="M245" s="618"/>
    </row>
  </sheetData>
  <mergeCells count="8">
    <mergeCell ref="A245:E245"/>
    <mergeCell ref="A1:M1"/>
    <mergeCell ref="F162:F165"/>
    <mergeCell ref="F157:F161"/>
    <mergeCell ref="F82:F96"/>
    <mergeCell ref="F97:F111"/>
    <mergeCell ref="F19:F24"/>
    <mergeCell ref="F27:F31"/>
  </mergeCells>
  <dataValidations count="1">
    <dataValidation type="list" allowBlank="1" sqref="B3:B244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"/>
  <sheetViews>
    <sheetView workbookViewId="0">
      <pane ySplit="2" topLeftCell="A3" activePane="bottomLeft" state="frozen"/>
      <selection pane="bottomLeft" activeCell="B4" sqref="B4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2.7109375" customWidth="1"/>
    <col min="12" max="12" width="6.42578125" customWidth="1"/>
    <col min="13" max="13" width="4.42578125" customWidth="1"/>
  </cols>
  <sheetData>
    <row r="1" spans="1:13">
      <c r="A1" s="659" t="s">
        <v>624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3"/>
    </row>
    <row r="2" spans="1:13">
      <c r="A2" s="256" t="s">
        <v>3</v>
      </c>
      <c r="B2" s="260" t="s">
        <v>6</v>
      </c>
      <c r="C2" s="261" t="s">
        <v>8</v>
      </c>
      <c r="D2" s="484" t="s">
        <v>9</v>
      </c>
      <c r="E2" s="256" t="s">
        <v>10</v>
      </c>
      <c r="F2" s="263" t="s">
        <v>11</v>
      </c>
      <c r="G2" s="265" t="s">
        <v>12</v>
      </c>
      <c r="H2" s="269" t="s">
        <v>13</v>
      </c>
      <c r="I2" s="265" t="s">
        <v>14</v>
      </c>
      <c r="J2" s="265" t="s">
        <v>15</v>
      </c>
      <c r="K2" s="256" t="s">
        <v>16</v>
      </c>
      <c r="L2" s="260" t="s">
        <v>135</v>
      </c>
      <c r="M2" s="260" t="s">
        <v>17</v>
      </c>
    </row>
    <row r="3" spans="1:13">
      <c r="A3" s="485">
        <v>365432013</v>
      </c>
      <c r="B3" s="486" t="s">
        <v>432</v>
      </c>
      <c r="C3" s="376">
        <v>41495</v>
      </c>
      <c r="D3" s="375"/>
      <c r="E3" s="319" t="s">
        <v>637</v>
      </c>
      <c r="F3" s="487"/>
      <c r="G3" s="315">
        <f t="shared" ref="G3:G215" si="0">IF(H3=0,F3*0.1,IF(OR(B3="Descompressão",B3="MS 207002004"),(F3-I3)*0.05,(F3-I3)*0.1))</f>
        <v>0</v>
      </c>
      <c r="H3" s="317">
        <v>0.05</v>
      </c>
      <c r="I3" s="315">
        <f t="shared" ref="I3:I215" si="1">IF(H3=100%,F3,IF(H3=0,0,(F3-(F3/(1+H3)))))</f>
        <v>0</v>
      </c>
      <c r="J3" s="315">
        <f t="shared" ref="J3:J215" si="2">IF(OR($C3&lt;DATE(2002,7,30),$C3&gt;DATE(2012,1,3)),$I3,IF(AND($C3&gt;DATE(2002,7,29),$C3&lt;DATE(2004,3,1)),$I3*0.64,IF(AND($C3&gt;DATE(2004,2,28),$C3&lt;DATE(2012,1,4)),$I3*0.658)))</f>
        <v>0</v>
      </c>
      <c r="K3" s="319"/>
      <c r="L3" s="494"/>
      <c r="M3" s="323"/>
    </row>
    <row r="4" spans="1:13">
      <c r="A4" s="496">
        <v>365432013</v>
      </c>
      <c r="B4" s="498" t="s">
        <v>432</v>
      </c>
      <c r="C4" s="382">
        <v>41495</v>
      </c>
      <c r="D4" s="500"/>
      <c r="E4" s="338" t="s">
        <v>644</v>
      </c>
      <c r="F4" s="502"/>
      <c r="G4" s="334">
        <f t="shared" si="0"/>
        <v>0</v>
      </c>
      <c r="H4" s="336">
        <v>0.05</v>
      </c>
      <c r="I4" s="334">
        <f t="shared" si="1"/>
        <v>0</v>
      </c>
      <c r="J4" s="334">
        <f t="shared" si="2"/>
        <v>0</v>
      </c>
      <c r="K4" s="338"/>
      <c r="L4" s="504"/>
      <c r="M4" s="343"/>
    </row>
    <row r="5" spans="1:13">
      <c r="A5" s="496">
        <v>365432013</v>
      </c>
      <c r="B5" s="498" t="s">
        <v>432</v>
      </c>
      <c r="C5" s="382">
        <v>41495</v>
      </c>
      <c r="D5" s="500"/>
      <c r="E5" s="338" t="s">
        <v>647</v>
      </c>
      <c r="F5" s="345"/>
      <c r="G5" s="334">
        <f t="shared" si="0"/>
        <v>0</v>
      </c>
      <c r="H5" s="336">
        <v>0.05</v>
      </c>
      <c r="I5" s="334">
        <f t="shared" si="1"/>
        <v>0</v>
      </c>
      <c r="J5" s="334">
        <f t="shared" si="2"/>
        <v>0</v>
      </c>
      <c r="K5" s="338"/>
      <c r="L5" s="504"/>
      <c r="M5" s="343"/>
    </row>
    <row r="6" spans="1:13">
      <c r="A6" s="496">
        <v>365432013</v>
      </c>
      <c r="B6" s="498" t="s">
        <v>432</v>
      </c>
      <c r="C6" s="382">
        <v>41495</v>
      </c>
      <c r="D6" s="500"/>
      <c r="E6" s="338" t="s">
        <v>650</v>
      </c>
      <c r="F6" s="332"/>
      <c r="G6" s="334">
        <f t="shared" si="0"/>
        <v>0</v>
      </c>
      <c r="H6" s="336">
        <v>0.05</v>
      </c>
      <c r="I6" s="334">
        <f t="shared" si="1"/>
        <v>0</v>
      </c>
      <c r="J6" s="334">
        <f t="shared" si="2"/>
        <v>0</v>
      </c>
      <c r="K6" s="338"/>
      <c r="L6" s="504"/>
      <c r="M6" s="343"/>
    </row>
    <row r="7" spans="1:13">
      <c r="A7" s="496">
        <v>365432013</v>
      </c>
      <c r="B7" s="498" t="s">
        <v>432</v>
      </c>
      <c r="C7" s="382">
        <v>41495</v>
      </c>
      <c r="D7" s="500"/>
      <c r="E7" s="338" t="s">
        <v>653</v>
      </c>
      <c r="F7" s="345"/>
      <c r="G7" s="334">
        <f t="shared" si="0"/>
        <v>0</v>
      </c>
      <c r="H7" s="336">
        <v>0.05</v>
      </c>
      <c r="I7" s="334">
        <f t="shared" si="1"/>
        <v>0</v>
      </c>
      <c r="J7" s="334">
        <f t="shared" si="2"/>
        <v>0</v>
      </c>
      <c r="K7" s="338"/>
      <c r="L7" s="504"/>
      <c r="M7" s="343"/>
    </row>
    <row r="8" spans="1:13">
      <c r="A8" s="496">
        <v>365432013</v>
      </c>
      <c r="B8" s="498" t="s">
        <v>432</v>
      </c>
      <c r="C8" s="382">
        <v>41495</v>
      </c>
      <c r="D8" s="500"/>
      <c r="E8" s="338" t="s">
        <v>657</v>
      </c>
      <c r="F8" s="345"/>
      <c r="G8" s="334">
        <f t="shared" si="0"/>
        <v>0</v>
      </c>
      <c r="H8" s="336">
        <v>0.05</v>
      </c>
      <c r="I8" s="334">
        <f t="shared" si="1"/>
        <v>0</v>
      </c>
      <c r="J8" s="334">
        <f t="shared" si="2"/>
        <v>0</v>
      </c>
      <c r="K8" s="338"/>
      <c r="L8" s="504"/>
      <c r="M8" s="343"/>
    </row>
    <row r="9" spans="1:13">
      <c r="A9" s="496">
        <v>365432013</v>
      </c>
      <c r="B9" s="498" t="s">
        <v>432</v>
      </c>
      <c r="C9" s="382">
        <v>41495</v>
      </c>
      <c r="D9" s="500"/>
      <c r="E9" s="338" t="s">
        <v>659</v>
      </c>
      <c r="F9" s="345"/>
      <c r="G9" s="334">
        <f t="shared" si="0"/>
        <v>0</v>
      </c>
      <c r="H9" s="336">
        <v>0.05</v>
      </c>
      <c r="I9" s="334">
        <f t="shared" si="1"/>
        <v>0</v>
      </c>
      <c r="J9" s="334">
        <f t="shared" si="2"/>
        <v>0</v>
      </c>
      <c r="K9" s="338"/>
      <c r="L9" s="504"/>
      <c r="M9" s="343"/>
    </row>
    <row r="10" spans="1:13">
      <c r="A10" s="496">
        <v>365432013</v>
      </c>
      <c r="B10" s="498" t="s">
        <v>432</v>
      </c>
      <c r="C10" s="382">
        <v>41495</v>
      </c>
      <c r="D10" s="500"/>
      <c r="E10" s="338" t="s">
        <v>661</v>
      </c>
      <c r="F10" s="345"/>
      <c r="G10" s="334">
        <f t="shared" si="0"/>
        <v>0</v>
      </c>
      <c r="H10" s="336">
        <v>0.05</v>
      </c>
      <c r="I10" s="334">
        <f t="shared" si="1"/>
        <v>0</v>
      </c>
      <c r="J10" s="334">
        <f t="shared" si="2"/>
        <v>0</v>
      </c>
      <c r="K10" s="338"/>
      <c r="L10" s="504"/>
      <c r="M10" s="343"/>
    </row>
    <row r="11" spans="1:13">
      <c r="A11" s="496">
        <v>365432013</v>
      </c>
      <c r="B11" s="498" t="s">
        <v>432</v>
      </c>
      <c r="C11" s="382">
        <v>41495</v>
      </c>
      <c r="D11" s="500"/>
      <c r="E11" s="338" t="s">
        <v>662</v>
      </c>
      <c r="F11" s="332"/>
      <c r="G11" s="334">
        <f t="shared" si="0"/>
        <v>0</v>
      </c>
      <c r="H11" s="336">
        <v>0.05</v>
      </c>
      <c r="I11" s="334">
        <f t="shared" si="1"/>
        <v>0</v>
      </c>
      <c r="J11" s="334">
        <f t="shared" si="2"/>
        <v>0</v>
      </c>
      <c r="K11" s="338"/>
      <c r="L11" s="504"/>
      <c r="M11" s="343"/>
    </row>
    <row r="12" spans="1:13">
      <c r="A12" s="496">
        <v>365432013</v>
      </c>
      <c r="B12" s="498" t="s">
        <v>432</v>
      </c>
      <c r="C12" s="382">
        <v>41495</v>
      </c>
      <c r="D12" s="500"/>
      <c r="E12" s="338" t="s">
        <v>664</v>
      </c>
      <c r="F12" s="345"/>
      <c r="G12" s="334">
        <f t="shared" si="0"/>
        <v>0</v>
      </c>
      <c r="H12" s="336">
        <v>0.05</v>
      </c>
      <c r="I12" s="334">
        <f t="shared" si="1"/>
        <v>0</v>
      </c>
      <c r="J12" s="334">
        <f t="shared" si="2"/>
        <v>0</v>
      </c>
      <c r="K12" s="338"/>
      <c r="L12" s="504"/>
      <c r="M12" s="343"/>
    </row>
    <row r="13" spans="1:13">
      <c r="A13" s="496">
        <v>365432013</v>
      </c>
      <c r="B13" s="498" t="s">
        <v>432</v>
      </c>
      <c r="C13" s="382">
        <v>41495</v>
      </c>
      <c r="D13" s="516"/>
      <c r="E13" s="338" t="s">
        <v>667</v>
      </c>
      <c r="F13" s="332"/>
      <c r="G13" s="334">
        <f t="shared" si="0"/>
        <v>0</v>
      </c>
      <c r="H13" s="336">
        <v>0.05</v>
      </c>
      <c r="I13" s="334">
        <f t="shared" si="1"/>
        <v>0</v>
      </c>
      <c r="J13" s="334">
        <f t="shared" si="2"/>
        <v>0</v>
      </c>
      <c r="K13" s="338"/>
      <c r="L13" s="504"/>
      <c r="M13" s="343"/>
    </row>
    <row r="14" spans="1:13">
      <c r="A14" s="496">
        <v>365432013</v>
      </c>
      <c r="B14" s="519" t="s">
        <v>432</v>
      </c>
      <c r="C14" s="521">
        <v>41495</v>
      </c>
      <c r="D14" s="380">
        <v>83622016</v>
      </c>
      <c r="E14" s="523" t="s">
        <v>672</v>
      </c>
      <c r="F14" s="332">
        <v>619030.53</v>
      </c>
      <c r="G14" s="334">
        <f t="shared" si="0"/>
        <v>29477.64428571429</v>
      </c>
      <c r="H14" s="336">
        <v>0.05</v>
      </c>
      <c r="I14" s="334">
        <f t="shared" si="1"/>
        <v>29477.644285714254</v>
      </c>
      <c r="J14" s="334">
        <f t="shared" si="2"/>
        <v>29477.644285714254</v>
      </c>
      <c r="K14" s="338" t="s">
        <v>675</v>
      </c>
      <c r="L14" s="504"/>
      <c r="M14" s="343"/>
    </row>
    <row r="15" spans="1:13">
      <c r="A15" s="496">
        <v>365432013</v>
      </c>
      <c r="B15" s="498" t="s">
        <v>432</v>
      </c>
      <c r="C15" s="382">
        <v>41495</v>
      </c>
      <c r="D15" s="525"/>
      <c r="E15" s="338" t="s">
        <v>676</v>
      </c>
      <c r="F15" s="345"/>
      <c r="G15" s="334">
        <f t="shared" si="0"/>
        <v>0</v>
      </c>
      <c r="H15" s="336">
        <v>0.05</v>
      </c>
      <c r="I15" s="334">
        <f t="shared" si="1"/>
        <v>0</v>
      </c>
      <c r="J15" s="334">
        <f t="shared" si="2"/>
        <v>0</v>
      </c>
      <c r="K15" s="338"/>
      <c r="L15" s="504"/>
      <c r="M15" s="343"/>
    </row>
    <row r="16" spans="1:13">
      <c r="A16" s="496">
        <v>365432013</v>
      </c>
      <c r="B16" s="498" t="s">
        <v>432</v>
      </c>
      <c r="C16" s="382">
        <v>41495</v>
      </c>
      <c r="D16" s="380"/>
      <c r="E16" s="338" t="s">
        <v>678</v>
      </c>
      <c r="F16" s="345"/>
      <c r="G16" s="334">
        <f t="shared" si="0"/>
        <v>0</v>
      </c>
      <c r="H16" s="336">
        <v>0.05</v>
      </c>
      <c r="I16" s="334">
        <f t="shared" si="1"/>
        <v>0</v>
      </c>
      <c r="J16" s="334">
        <f t="shared" si="2"/>
        <v>0</v>
      </c>
      <c r="K16" s="338"/>
      <c r="L16" s="504"/>
      <c r="M16" s="343"/>
    </row>
    <row r="17" spans="1:13">
      <c r="A17" s="496">
        <v>365432013</v>
      </c>
      <c r="B17" s="498" t="s">
        <v>432</v>
      </c>
      <c r="C17" s="382">
        <v>41495</v>
      </c>
      <c r="D17" s="380"/>
      <c r="E17" s="338" t="s">
        <v>680</v>
      </c>
      <c r="F17" s="345"/>
      <c r="G17" s="334">
        <f t="shared" si="0"/>
        <v>0</v>
      </c>
      <c r="H17" s="336">
        <v>0.05</v>
      </c>
      <c r="I17" s="334">
        <f t="shared" si="1"/>
        <v>0</v>
      </c>
      <c r="J17" s="334">
        <f t="shared" si="2"/>
        <v>0</v>
      </c>
      <c r="K17" s="338"/>
      <c r="L17" s="504"/>
      <c r="M17" s="343"/>
    </row>
    <row r="18" spans="1:13">
      <c r="A18" s="426">
        <v>181602004</v>
      </c>
      <c r="B18" s="486" t="s">
        <v>22</v>
      </c>
      <c r="C18" s="376">
        <v>38274</v>
      </c>
      <c r="D18" s="375">
        <v>274972016</v>
      </c>
      <c r="E18" s="319" t="s">
        <v>683</v>
      </c>
      <c r="F18" s="378">
        <v>79555.929999999993</v>
      </c>
      <c r="G18" s="315">
        <f t="shared" si="0"/>
        <v>7232.3572727272713</v>
      </c>
      <c r="H18" s="317">
        <v>0.1</v>
      </c>
      <c r="I18" s="315">
        <f t="shared" si="1"/>
        <v>7232.357272727284</v>
      </c>
      <c r="J18" s="315">
        <f t="shared" si="2"/>
        <v>4758.8910854545529</v>
      </c>
      <c r="K18" s="319" t="s">
        <v>254</v>
      </c>
      <c r="L18" s="494" t="s">
        <v>81</v>
      </c>
      <c r="M18" s="323"/>
    </row>
    <row r="19" spans="1:13">
      <c r="A19" s="429">
        <v>181602004</v>
      </c>
      <c r="B19" s="498" t="s">
        <v>22</v>
      </c>
      <c r="C19" s="382">
        <v>38274</v>
      </c>
      <c r="D19" s="380">
        <v>274632016</v>
      </c>
      <c r="E19" s="338" t="s">
        <v>687</v>
      </c>
      <c r="F19" s="332">
        <v>81142.740000000005</v>
      </c>
      <c r="G19" s="334">
        <f t="shared" si="0"/>
        <v>7376.6127272727281</v>
      </c>
      <c r="H19" s="336">
        <v>0.1</v>
      </c>
      <c r="I19" s="334">
        <f t="shared" si="1"/>
        <v>7376.6127272727317</v>
      </c>
      <c r="J19" s="334">
        <f t="shared" si="2"/>
        <v>4853.811174545458</v>
      </c>
      <c r="K19" s="338"/>
      <c r="L19" s="504"/>
      <c r="M19" s="343"/>
    </row>
    <row r="20" spans="1:13">
      <c r="A20" s="434">
        <v>181602004</v>
      </c>
      <c r="B20" s="528" t="s">
        <v>22</v>
      </c>
      <c r="C20" s="388">
        <v>38274</v>
      </c>
      <c r="D20" s="387">
        <v>274652016</v>
      </c>
      <c r="E20" s="361" t="s">
        <v>690</v>
      </c>
      <c r="F20" s="439">
        <v>79106.740000000005</v>
      </c>
      <c r="G20" s="357">
        <f t="shared" si="0"/>
        <v>7191.5218181818191</v>
      </c>
      <c r="H20" s="359">
        <v>0.1</v>
      </c>
      <c r="I20" s="357">
        <f t="shared" si="1"/>
        <v>7191.52181818182</v>
      </c>
      <c r="J20" s="357">
        <f t="shared" si="2"/>
        <v>4732.021356363638</v>
      </c>
      <c r="K20" s="361"/>
      <c r="L20" s="531"/>
      <c r="M20" s="365"/>
    </row>
    <row r="21" spans="1:13">
      <c r="A21" s="534">
        <v>157032014</v>
      </c>
      <c r="B21" s="486" t="s">
        <v>432</v>
      </c>
      <c r="C21" s="376">
        <v>41732</v>
      </c>
      <c r="D21" s="375"/>
      <c r="E21" s="319" t="s">
        <v>694</v>
      </c>
      <c r="F21" s="378"/>
      <c r="G21" s="315">
        <f t="shared" si="0"/>
        <v>0</v>
      </c>
      <c r="H21" s="317">
        <v>0.05</v>
      </c>
      <c r="I21" s="315">
        <f t="shared" si="1"/>
        <v>0</v>
      </c>
      <c r="J21" s="315">
        <f t="shared" si="2"/>
        <v>0</v>
      </c>
      <c r="K21" s="319"/>
      <c r="L21" s="537"/>
      <c r="M21" s="323"/>
    </row>
    <row r="22" spans="1:13">
      <c r="A22" s="539">
        <v>157032014</v>
      </c>
      <c r="B22" s="540" t="s">
        <v>432</v>
      </c>
      <c r="C22" s="382">
        <v>41732</v>
      </c>
      <c r="D22" s="380">
        <v>313732016</v>
      </c>
      <c r="E22" s="338" t="s">
        <v>699</v>
      </c>
      <c r="F22" s="332">
        <v>195628.27</v>
      </c>
      <c r="G22" s="334">
        <f t="shared" si="0"/>
        <v>9315.6319047619036</v>
      </c>
      <c r="H22" s="336">
        <v>0.05</v>
      </c>
      <c r="I22" s="334">
        <f t="shared" si="1"/>
        <v>9315.6319047619181</v>
      </c>
      <c r="J22" s="334">
        <f t="shared" si="2"/>
        <v>9315.6319047619181</v>
      </c>
      <c r="K22" s="338" t="s">
        <v>79</v>
      </c>
      <c r="L22" s="504"/>
      <c r="M22" s="343"/>
    </row>
    <row r="23" spans="1:13">
      <c r="A23" s="539">
        <v>157032014</v>
      </c>
      <c r="B23" s="498" t="s">
        <v>432</v>
      </c>
      <c r="C23" s="382">
        <v>41732</v>
      </c>
      <c r="D23" s="380">
        <v>316542015</v>
      </c>
      <c r="E23" s="338" t="s">
        <v>701</v>
      </c>
      <c r="F23" s="332">
        <v>196856.49</v>
      </c>
      <c r="G23" s="334">
        <f t="shared" si="0"/>
        <v>9374.1185714285712</v>
      </c>
      <c r="H23" s="336">
        <v>0.05</v>
      </c>
      <c r="I23" s="334">
        <f t="shared" si="1"/>
        <v>9374.1185714285821</v>
      </c>
      <c r="J23" s="334">
        <f t="shared" si="2"/>
        <v>9374.1185714285821</v>
      </c>
      <c r="K23" s="338" t="s">
        <v>79</v>
      </c>
      <c r="L23" s="541" t="s">
        <v>81</v>
      </c>
      <c r="M23" s="343"/>
    </row>
    <row r="24" spans="1:13">
      <c r="A24" s="539">
        <v>157032014</v>
      </c>
      <c r="B24" s="498" t="s">
        <v>432</v>
      </c>
      <c r="C24" s="382">
        <v>41732</v>
      </c>
      <c r="D24" s="380"/>
      <c r="E24" s="338" t="s">
        <v>705</v>
      </c>
      <c r="F24" s="345"/>
      <c r="G24" s="334">
        <f t="shared" si="0"/>
        <v>0</v>
      </c>
      <c r="H24" s="336">
        <v>0.05</v>
      </c>
      <c r="I24" s="334">
        <f t="shared" si="1"/>
        <v>0</v>
      </c>
      <c r="J24" s="334">
        <f t="shared" si="2"/>
        <v>0</v>
      </c>
      <c r="K24" s="338"/>
      <c r="L24" s="504"/>
      <c r="M24" s="343"/>
    </row>
    <row r="25" spans="1:13">
      <c r="A25" s="539">
        <v>157032014</v>
      </c>
      <c r="B25" s="498" t="s">
        <v>432</v>
      </c>
      <c r="C25" s="382">
        <v>41732</v>
      </c>
      <c r="D25" s="380"/>
      <c r="E25" s="338" t="s">
        <v>707</v>
      </c>
      <c r="F25" s="345"/>
      <c r="G25" s="334">
        <f t="shared" si="0"/>
        <v>0</v>
      </c>
      <c r="H25" s="336">
        <v>0.05</v>
      </c>
      <c r="I25" s="334">
        <f t="shared" si="1"/>
        <v>0</v>
      </c>
      <c r="J25" s="334">
        <f t="shared" si="2"/>
        <v>0</v>
      </c>
      <c r="K25" s="338"/>
      <c r="L25" s="504"/>
      <c r="M25" s="343"/>
    </row>
    <row r="26" spans="1:13">
      <c r="A26" s="371">
        <v>165862002</v>
      </c>
      <c r="B26" s="546"/>
      <c r="C26" s="275">
        <v>37530</v>
      </c>
      <c r="D26" s="274">
        <v>301852016</v>
      </c>
      <c r="E26" s="293" t="s">
        <v>709</v>
      </c>
      <c r="F26" s="373">
        <v>30525.58</v>
      </c>
      <c r="G26" s="283">
        <f t="shared" si="0"/>
        <v>3052.5580000000004</v>
      </c>
      <c r="H26" s="286">
        <v>0</v>
      </c>
      <c r="I26" s="283">
        <f t="shared" si="1"/>
        <v>0</v>
      </c>
      <c r="J26" s="283">
        <f t="shared" si="2"/>
        <v>0</v>
      </c>
      <c r="K26" s="293" t="s">
        <v>79</v>
      </c>
      <c r="L26" s="548"/>
      <c r="M26" s="297"/>
    </row>
    <row r="27" spans="1:13">
      <c r="A27" s="426">
        <v>19142006</v>
      </c>
      <c r="B27" s="550"/>
      <c r="C27" s="376">
        <v>38755</v>
      </c>
      <c r="D27" s="375">
        <v>308662016</v>
      </c>
      <c r="E27" s="319" t="s">
        <v>711</v>
      </c>
      <c r="F27" s="378">
        <v>80745.13</v>
      </c>
      <c r="G27" s="315">
        <f t="shared" si="0"/>
        <v>7340.4663636363639</v>
      </c>
      <c r="H27" s="317">
        <v>0.1</v>
      </c>
      <c r="I27" s="315">
        <f t="shared" si="1"/>
        <v>7340.4663636363694</v>
      </c>
      <c r="J27" s="315">
        <f t="shared" si="2"/>
        <v>4830.0268672727316</v>
      </c>
      <c r="K27" s="319" t="s">
        <v>79</v>
      </c>
      <c r="L27" s="537"/>
      <c r="M27" s="323"/>
    </row>
    <row r="28" spans="1:13">
      <c r="A28" s="552">
        <v>19142006</v>
      </c>
      <c r="B28" s="553"/>
      <c r="C28" s="382">
        <v>38755</v>
      </c>
      <c r="D28" s="380">
        <v>308672016</v>
      </c>
      <c r="E28" s="338" t="s">
        <v>713</v>
      </c>
      <c r="F28" s="332">
        <v>82044.179999999993</v>
      </c>
      <c r="G28" s="334">
        <f t="shared" si="0"/>
        <v>7458.5618181818172</v>
      </c>
      <c r="H28" s="336">
        <v>0.1</v>
      </c>
      <c r="I28" s="334">
        <f t="shared" si="1"/>
        <v>7458.5618181818281</v>
      </c>
      <c r="J28" s="334">
        <f t="shared" si="2"/>
        <v>4907.7336763636431</v>
      </c>
      <c r="K28" s="338" t="s">
        <v>79</v>
      </c>
      <c r="L28" s="504"/>
      <c r="M28" s="343"/>
    </row>
    <row r="29" spans="1:13">
      <c r="A29" s="552">
        <v>19142006</v>
      </c>
      <c r="B29" s="553"/>
      <c r="C29" s="382">
        <v>38755</v>
      </c>
      <c r="D29" s="380">
        <v>308692016</v>
      </c>
      <c r="E29" s="338" t="s">
        <v>715</v>
      </c>
      <c r="F29" s="332">
        <v>78645.399999999994</v>
      </c>
      <c r="G29" s="334">
        <f t="shared" si="0"/>
        <v>7149.5818181818177</v>
      </c>
      <c r="H29" s="336">
        <v>0.1</v>
      </c>
      <c r="I29" s="334">
        <f t="shared" si="1"/>
        <v>7149.5818181818177</v>
      </c>
      <c r="J29" s="334">
        <f t="shared" si="2"/>
        <v>4704.4248363636361</v>
      </c>
      <c r="K29" s="338" t="s">
        <v>79</v>
      </c>
      <c r="L29" s="504"/>
      <c r="M29" s="343"/>
    </row>
    <row r="30" spans="1:13">
      <c r="A30" s="554">
        <v>19142006</v>
      </c>
      <c r="B30" s="555"/>
      <c r="C30" s="388">
        <v>38755</v>
      </c>
      <c r="D30" s="387">
        <v>308712016</v>
      </c>
      <c r="E30" s="361" t="s">
        <v>720</v>
      </c>
      <c r="F30" s="439">
        <v>78664.820000000007</v>
      </c>
      <c r="G30" s="357">
        <f t="shared" si="0"/>
        <v>7151.3472727272738</v>
      </c>
      <c r="H30" s="359">
        <v>0.1</v>
      </c>
      <c r="I30" s="357">
        <f t="shared" si="1"/>
        <v>7151.3472727272747</v>
      </c>
      <c r="J30" s="357">
        <f t="shared" si="2"/>
        <v>4705.5865054545466</v>
      </c>
      <c r="K30" s="361" t="s">
        <v>79</v>
      </c>
      <c r="L30" s="531"/>
      <c r="M30" s="365"/>
    </row>
    <row r="31" spans="1:13">
      <c r="A31" s="426">
        <v>166492002</v>
      </c>
      <c r="B31" s="486" t="s">
        <v>22</v>
      </c>
      <c r="C31" s="376">
        <v>37531</v>
      </c>
      <c r="D31" s="375">
        <v>251702016</v>
      </c>
      <c r="E31" s="319" t="s">
        <v>725</v>
      </c>
      <c r="F31" s="378">
        <v>177919.8</v>
      </c>
      <c r="G31" s="315">
        <f t="shared" si="0"/>
        <v>16174.527272727271</v>
      </c>
      <c r="H31" s="317">
        <v>0.1</v>
      </c>
      <c r="I31" s="315">
        <f t="shared" si="1"/>
        <v>16174.527272727282</v>
      </c>
      <c r="J31" s="315">
        <f t="shared" si="2"/>
        <v>10351.697454545461</v>
      </c>
      <c r="K31" s="319" t="s">
        <v>254</v>
      </c>
      <c r="L31" s="494" t="s">
        <v>81</v>
      </c>
      <c r="M31" s="323"/>
    </row>
    <row r="32" spans="1:13">
      <c r="A32" s="429">
        <v>166492002</v>
      </c>
      <c r="B32" s="540" t="s">
        <v>22</v>
      </c>
      <c r="C32" s="382">
        <v>37531</v>
      </c>
      <c r="D32" s="380">
        <v>251642016</v>
      </c>
      <c r="E32" s="338" t="s">
        <v>727</v>
      </c>
      <c r="F32" s="332">
        <v>19063.98</v>
      </c>
      <c r="G32" s="334">
        <f t="shared" si="0"/>
        <v>1733.0890909090908</v>
      </c>
      <c r="H32" s="336">
        <v>0.1</v>
      </c>
      <c r="I32" s="334">
        <f t="shared" si="1"/>
        <v>1733.0890909090922</v>
      </c>
      <c r="J32" s="334">
        <f t="shared" si="2"/>
        <v>1109.177018181819</v>
      </c>
      <c r="K32" s="559" t="s">
        <v>79</v>
      </c>
      <c r="L32" s="560"/>
      <c r="M32" s="343"/>
    </row>
    <row r="33" spans="1:13">
      <c r="A33" s="434">
        <v>166492002</v>
      </c>
      <c r="B33" s="561" t="s">
        <v>22</v>
      </c>
      <c r="C33" s="388">
        <v>37531</v>
      </c>
      <c r="D33" s="387">
        <v>251632016</v>
      </c>
      <c r="E33" s="361" t="s">
        <v>731</v>
      </c>
      <c r="F33" s="439">
        <v>75108.22</v>
      </c>
      <c r="G33" s="357">
        <f t="shared" si="0"/>
        <v>6828.02</v>
      </c>
      <c r="H33" s="359">
        <v>0.1</v>
      </c>
      <c r="I33" s="357">
        <f t="shared" si="1"/>
        <v>6828.0200000000041</v>
      </c>
      <c r="J33" s="357">
        <f t="shared" si="2"/>
        <v>4369.9328000000023</v>
      </c>
      <c r="K33" s="565" t="s">
        <v>79</v>
      </c>
      <c r="L33" s="567"/>
      <c r="M33" s="365"/>
    </row>
    <row r="34" spans="1:13">
      <c r="A34" s="426">
        <v>95012003</v>
      </c>
      <c r="B34" s="550"/>
      <c r="C34" s="376">
        <v>37777</v>
      </c>
      <c r="D34" s="375">
        <v>302422016</v>
      </c>
      <c r="E34" s="319" t="s">
        <v>734</v>
      </c>
      <c r="F34" s="378"/>
      <c r="G34" s="315">
        <f t="shared" si="0"/>
        <v>0</v>
      </c>
      <c r="H34" s="317"/>
      <c r="I34" s="315">
        <f t="shared" si="1"/>
        <v>0</v>
      </c>
      <c r="J34" s="315">
        <f t="shared" si="2"/>
        <v>0</v>
      </c>
      <c r="K34" s="319"/>
      <c r="L34" s="537"/>
      <c r="M34" s="323"/>
    </row>
    <row r="35" spans="1:13">
      <c r="A35" s="429">
        <v>95012003</v>
      </c>
      <c r="B35" s="498"/>
      <c r="C35" s="382">
        <v>37777</v>
      </c>
      <c r="D35" s="380">
        <v>302432016</v>
      </c>
      <c r="E35" s="338" t="s">
        <v>735</v>
      </c>
      <c r="F35" s="332"/>
      <c r="G35" s="334">
        <f t="shared" si="0"/>
        <v>0</v>
      </c>
      <c r="H35" s="336"/>
      <c r="I35" s="334">
        <f t="shared" si="1"/>
        <v>0</v>
      </c>
      <c r="J35" s="334">
        <f t="shared" si="2"/>
        <v>0</v>
      </c>
      <c r="K35" s="338"/>
      <c r="L35" s="504"/>
      <c r="M35" s="343"/>
    </row>
    <row r="36" spans="1:13">
      <c r="A36" s="429">
        <v>95012003</v>
      </c>
      <c r="B36" s="498"/>
      <c r="C36" s="382">
        <v>37777</v>
      </c>
      <c r="D36" s="380">
        <v>301412016</v>
      </c>
      <c r="E36" s="338" t="s">
        <v>737</v>
      </c>
      <c r="F36" s="332"/>
      <c r="G36" s="334">
        <f t="shared" si="0"/>
        <v>0</v>
      </c>
      <c r="H36" s="336"/>
      <c r="I36" s="334">
        <f t="shared" si="1"/>
        <v>0</v>
      </c>
      <c r="J36" s="334">
        <f t="shared" si="2"/>
        <v>0</v>
      </c>
      <c r="K36" s="338"/>
      <c r="L36" s="504"/>
      <c r="M36" s="343"/>
    </row>
    <row r="37" spans="1:13">
      <c r="A37" s="429">
        <v>95012003</v>
      </c>
      <c r="B37" s="498"/>
      <c r="C37" s="382">
        <v>37777</v>
      </c>
      <c r="D37" s="380">
        <v>302442016</v>
      </c>
      <c r="E37" s="338" t="s">
        <v>738</v>
      </c>
      <c r="F37" s="332"/>
      <c r="G37" s="334">
        <f t="shared" si="0"/>
        <v>0</v>
      </c>
      <c r="H37" s="336"/>
      <c r="I37" s="334">
        <f t="shared" si="1"/>
        <v>0</v>
      </c>
      <c r="J37" s="334">
        <f t="shared" si="2"/>
        <v>0</v>
      </c>
      <c r="K37" s="338"/>
      <c r="L37" s="504"/>
      <c r="M37" s="343"/>
    </row>
    <row r="38" spans="1:13">
      <c r="A38" s="434">
        <v>95012003</v>
      </c>
      <c r="B38" s="528"/>
      <c r="C38" s="388">
        <v>37777</v>
      </c>
      <c r="D38" s="387">
        <v>301432016</v>
      </c>
      <c r="E38" s="361" t="s">
        <v>740</v>
      </c>
      <c r="F38" s="439"/>
      <c r="G38" s="357">
        <f t="shared" si="0"/>
        <v>0</v>
      </c>
      <c r="H38" s="359"/>
      <c r="I38" s="357">
        <f t="shared" si="1"/>
        <v>0</v>
      </c>
      <c r="J38" s="357">
        <f t="shared" si="2"/>
        <v>0</v>
      </c>
      <c r="K38" s="361"/>
      <c r="L38" s="531"/>
      <c r="M38" s="365"/>
    </row>
    <row r="39" spans="1:13">
      <c r="A39" s="426">
        <v>245892014</v>
      </c>
      <c r="B39" s="486" t="s">
        <v>432</v>
      </c>
      <c r="C39" s="376">
        <v>41785</v>
      </c>
      <c r="D39" s="375">
        <v>238752016</v>
      </c>
      <c r="E39" s="319" t="s">
        <v>741</v>
      </c>
      <c r="F39" s="378"/>
      <c r="G39" s="315">
        <f t="shared" si="0"/>
        <v>0</v>
      </c>
      <c r="H39" s="317">
        <v>0.05</v>
      </c>
      <c r="I39" s="315">
        <f t="shared" si="1"/>
        <v>0</v>
      </c>
      <c r="J39" s="315">
        <f t="shared" si="2"/>
        <v>0</v>
      </c>
      <c r="K39" s="319"/>
      <c r="L39" s="537"/>
      <c r="M39" s="323"/>
    </row>
    <row r="40" spans="1:13">
      <c r="A40" s="552">
        <v>245892014</v>
      </c>
      <c r="B40" s="553" t="s">
        <v>432</v>
      </c>
      <c r="C40" s="569">
        <v>41785</v>
      </c>
      <c r="D40" s="380">
        <v>238612016</v>
      </c>
      <c r="E40" s="338" t="s">
        <v>743</v>
      </c>
      <c r="F40" s="332"/>
      <c r="G40" s="334">
        <f t="shared" si="0"/>
        <v>0</v>
      </c>
      <c r="H40" s="336">
        <v>0.05</v>
      </c>
      <c r="I40" s="334">
        <f t="shared" si="1"/>
        <v>0</v>
      </c>
      <c r="J40" s="334">
        <f t="shared" si="2"/>
        <v>0</v>
      </c>
      <c r="K40" s="338"/>
      <c r="L40" s="504"/>
      <c r="M40" s="343"/>
    </row>
    <row r="41" spans="1:13">
      <c r="A41" s="552">
        <v>245892014</v>
      </c>
      <c r="B41" s="553" t="s">
        <v>432</v>
      </c>
      <c r="C41" s="569">
        <v>41785</v>
      </c>
      <c r="D41" s="380">
        <v>238602016</v>
      </c>
      <c r="E41" s="338" t="s">
        <v>744</v>
      </c>
      <c r="F41" s="332"/>
      <c r="G41" s="334">
        <f t="shared" si="0"/>
        <v>0</v>
      </c>
      <c r="H41" s="336">
        <v>0.05</v>
      </c>
      <c r="I41" s="334">
        <f t="shared" si="1"/>
        <v>0</v>
      </c>
      <c r="J41" s="334">
        <f t="shared" si="2"/>
        <v>0</v>
      </c>
      <c r="K41" s="338"/>
      <c r="L41" s="504"/>
      <c r="M41" s="343"/>
    </row>
    <row r="42" spans="1:13">
      <c r="A42" s="552">
        <v>245892014</v>
      </c>
      <c r="B42" s="553" t="s">
        <v>432</v>
      </c>
      <c r="C42" s="569">
        <v>41785</v>
      </c>
      <c r="D42" s="380">
        <v>238822016</v>
      </c>
      <c r="E42" s="338" t="s">
        <v>745</v>
      </c>
      <c r="F42" s="332"/>
      <c r="G42" s="334">
        <f t="shared" si="0"/>
        <v>0</v>
      </c>
      <c r="H42" s="336">
        <v>0.05</v>
      </c>
      <c r="I42" s="334">
        <f t="shared" si="1"/>
        <v>0</v>
      </c>
      <c r="J42" s="334">
        <f t="shared" si="2"/>
        <v>0</v>
      </c>
      <c r="K42" s="338"/>
      <c r="L42" s="504"/>
      <c r="M42" s="343"/>
    </row>
    <row r="43" spans="1:13">
      <c r="A43" s="552">
        <v>245892014</v>
      </c>
      <c r="B43" s="553" t="s">
        <v>432</v>
      </c>
      <c r="C43" s="569">
        <v>41785</v>
      </c>
      <c r="D43" s="380">
        <v>238572016</v>
      </c>
      <c r="E43" s="338" t="s">
        <v>747</v>
      </c>
      <c r="F43" s="332"/>
      <c r="G43" s="334">
        <f t="shared" si="0"/>
        <v>0</v>
      </c>
      <c r="H43" s="336">
        <v>0.05</v>
      </c>
      <c r="I43" s="334">
        <f t="shared" si="1"/>
        <v>0</v>
      </c>
      <c r="J43" s="334">
        <f t="shared" si="2"/>
        <v>0</v>
      </c>
      <c r="K43" s="338"/>
      <c r="L43" s="504"/>
      <c r="M43" s="343"/>
    </row>
    <row r="44" spans="1:13">
      <c r="A44" s="552">
        <v>245892014</v>
      </c>
      <c r="B44" s="553" t="s">
        <v>432</v>
      </c>
      <c r="C44" s="569">
        <v>41785</v>
      </c>
      <c r="D44" s="380">
        <v>238792016</v>
      </c>
      <c r="E44" s="338" t="s">
        <v>748</v>
      </c>
      <c r="F44" s="332"/>
      <c r="G44" s="334">
        <f t="shared" si="0"/>
        <v>0</v>
      </c>
      <c r="H44" s="336">
        <v>0.05</v>
      </c>
      <c r="I44" s="334">
        <f t="shared" si="1"/>
        <v>0</v>
      </c>
      <c r="J44" s="334">
        <f t="shared" si="2"/>
        <v>0</v>
      </c>
      <c r="K44" s="338"/>
      <c r="L44" s="504"/>
      <c r="M44" s="343"/>
    </row>
    <row r="45" spans="1:13">
      <c r="A45" s="552">
        <v>245892014</v>
      </c>
      <c r="B45" s="553" t="s">
        <v>432</v>
      </c>
      <c r="C45" s="569">
        <v>41785</v>
      </c>
      <c r="D45" s="380">
        <v>238662016</v>
      </c>
      <c r="E45" s="338" t="s">
        <v>749</v>
      </c>
      <c r="F45" s="332"/>
      <c r="G45" s="334">
        <f t="shared" si="0"/>
        <v>0</v>
      </c>
      <c r="H45" s="336">
        <v>0.05</v>
      </c>
      <c r="I45" s="334">
        <f t="shared" si="1"/>
        <v>0</v>
      </c>
      <c r="J45" s="334">
        <f t="shared" si="2"/>
        <v>0</v>
      </c>
      <c r="K45" s="338"/>
      <c r="L45" s="504"/>
      <c r="M45" s="343"/>
    </row>
    <row r="46" spans="1:13">
      <c r="A46" s="552">
        <v>245892014</v>
      </c>
      <c r="B46" s="553" t="s">
        <v>432</v>
      </c>
      <c r="C46" s="569">
        <v>41785</v>
      </c>
      <c r="D46" s="380">
        <v>238562016</v>
      </c>
      <c r="E46" s="338" t="s">
        <v>751</v>
      </c>
      <c r="F46" s="332"/>
      <c r="G46" s="334">
        <f t="shared" si="0"/>
        <v>0</v>
      </c>
      <c r="H46" s="336">
        <v>0.05</v>
      </c>
      <c r="I46" s="334">
        <f t="shared" si="1"/>
        <v>0</v>
      </c>
      <c r="J46" s="334">
        <f t="shared" si="2"/>
        <v>0</v>
      </c>
      <c r="K46" s="338"/>
      <c r="L46" s="504"/>
      <c r="M46" s="343"/>
    </row>
    <row r="47" spans="1:13">
      <c r="A47" s="552">
        <v>245892014</v>
      </c>
      <c r="B47" s="553" t="s">
        <v>432</v>
      </c>
      <c r="C47" s="569">
        <v>41785</v>
      </c>
      <c r="D47" s="380">
        <v>238812016</v>
      </c>
      <c r="E47" s="338" t="s">
        <v>753</v>
      </c>
      <c r="F47" s="345"/>
      <c r="G47" s="334">
        <f t="shared" si="0"/>
        <v>0</v>
      </c>
      <c r="H47" s="336">
        <v>0.05</v>
      </c>
      <c r="I47" s="334">
        <f t="shared" si="1"/>
        <v>0</v>
      </c>
      <c r="J47" s="334">
        <f t="shared" si="2"/>
        <v>0</v>
      </c>
      <c r="K47" s="338"/>
      <c r="L47" s="504"/>
      <c r="M47" s="343"/>
    </row>
    <row r="48" spans="1:13">
      <c r="A48" s="552">
        <v>245892014</v>
      </c>
      <c r="B48" s="553" t="s">
        <v>432</v>
      </c>
      <c r="C48" s="569">
        <v>41785</v>
      </c>
      <c r="D48" s="380">
        <v>238632016</v>
      </c>
      <c r="E48" s="338" t="s">
        <v>754</v>
      </c>
      <c r="F48" s="332"/>
      <c r="G48" s="334">
        <f t="shared" si="0"/>
        <v>0</v>
      </c>
      <c r="H48" s="336">
        <v>0.05</v>
      </c>
      <c r="I48" s="334">
        <f t="shared" si="1"/>
        <v>0</v>
      </c>
      <c r="J48" s="334">
        <f t="shared" si="2"/>
        <v>0</v>
      </c>
      <c r="K48" s="338"/>
      <c r="L48" s="504"/>
      <c r="M48" s="343"/>
    </row>
    <row r="49" spans="1:13">
      <c r="A49" s="552">
        <v>245892014</v>
      </c>
      <c r="B49" s="553" t="s">
        <v>432</v>
      </c>
      <c r="C49" s="569">
        <v>41785</v>
      </c>
      <c r="D49" s="380">
        <v>238622016</v>
      </c>
      <c r="E49" s="338" t="s">
        <v>756</v>
      </c>
      <c r="F49" s="345"/>
      <c r="G49" s="334">
        <f t="shared" si="0"/>
        <v>0</v>
      </c>
      <c r="H49" s="336">
        <v>0.05</v>
      </c>
      <c r="I49" s="334">
        <f t="shared" si="1"/>
        <v>0</v>
      </c>
      <c r="J49" s="334">
        <f t="shared" si="2"/>
        <v>0</v>
      </c>
      <c r="K49" s="338"/>
      <c r="L49" s="504"/>
      <c r="M49" s="343"/>
    </row>
    <row r="50" spans="1:13">
      <c r="A50" s="552">
        <v>245892014</v>
      </c>
      <c r="B50" s="553" t="s">
        <v>432</v>
      </c>
      <c r="C50" s="569">
        <v>41785</v>
      </c>
      <c r="D50" s="380">
        <v>238732016</v>
      </c>
      <c r="E50" s="338" t="s">
        <v>757</v>
      </c>
      <c r="F50" s="332"/>
      <c r="G50" s="334">
        <f t="shared" si="0"/>
        <v>0</v>
      </c>
      <c r="H50" s="336">
        <v>0.05</v>
      </c>
      <c r="I50" s="334">
        <f t="shared" si="1"/>
        <v>0</v>
      </c>
      <c r="J50" s="334">
        <f t="shared" si="2"/>
        <v>0</v>
      </c>
      <c r="K50" s="338"/>
      <c r="L50" s="504"/>
      <c r="M50" s="343"/>
    </row>
    <row r="51" spans="1:13">
      <c r="A51" s="552">
        <v>245892014</v>
      </c>
      <c r="B51" s="553" t="s">
        <v>432</v>
      </c>
      <c r="C51" s="569">
        <v>41785</v>
      </c>
      <c r="D51" s="380">
        <v>238642016</v>
      </c>
      <c r="E51" s="338" t="s">
        <v>758</v>
      </c>
      <c r="F51" s="332"/>
      <c r="G51" s="334">
        <f t="shared" si="0"/>
        <v>0</v>
      </c>
      <c r="H51" s="336">
        <v>0.05</v>
      </c>
      <c r="I51" s="334">
        <f t="shared" si="1"/>
        <v>0</v>
      </c>
      <c r="J51" s="334">
        <f t="shared" si="2"/>
        <v>0</v>
      </c>
      <c r="K51" s="338"/>
      <c r="L51" s="504"/>
      <c r="M51" s="343"/>
    </row>
    <row r="52" spans="1:13">
      <c r="A52" s="552">
        <v>245892014</v>
      </c>
      <c r="B52" s="553" t="s">
        <v>432</v>
      </c>
      <c r="C52" s="569">
        <v>41785</v>
      </c>
      <c r="D52" s="380"/>
      <c r="E52" s="338" t="s">
        <v>759</v>
      </c>
      <c r="F52" s="332"/>
      <c r="G52" s="334">
        <f t="shared" si="0"/>
        <v>0</v>
      </c>
      <c r="H52" s="336">
        <v>0.05</v>
      </c>
      <c r="I52" s="334">
        <f t="shared" si="1"/>
        <v>0</v>
      </c>
      <c r="J52" s="334">
        <f t="shared" si="2"/>
        <v>0</v>
      </c>
      <c r="K52" s="338"/>
      <c r="L52" s="504"/>
      <c r="M52" s="343"/>
    </row>
    <row r="53" spans="1:13">
      <c r="A53" s="554">
        <v>245892014</v>
      </c>
      <c r="B53" s="555" t="s">
        <v>432</v>
      </c>
      <c r="C53" s="575">
        <v>41785</v>
      </c>
      <c r="D53" s="387">
        <v>238652016</v>
      </c>
      <c r="E53" s="361" t="s">
        <v>761</v>
      </c>
      <c r="F53" s="439"/>
      <c r="G53" s="357">
        <f t="shared" si="0"/>
        <v>0</v>
      </c>
      <c r="H53" s="359">
        <v>0.05</v>
      </c>
      <c r="I53" s="357">
        <f t="shared" si="1"/>
        <v>0</v>
      </c>
      <c r="J53" s="357">
        <f t="shared" si="2"/>
        <v>0</v>
      </c>
      <c r="K53" s="361"/>
      <c r="L53" s="531"/>
      <c r="M53" s="365"/>
    </row>
    <row r="54" spans="1:13">
      <c r="A54" s="426">
        <v>283812014</v>
      </c>
      <c r="B54" s="550" t="s">
        <v>432</v>
      </c>
      <c r="C54" s="376">
        <v>41803</v>
      </c>
      <c r="D54" s="375">
        <v>597492015</v>
      </c>
      <c r="E54" s="319" t="s">
        <v>763</v>
      </c>
      <c r="F54" s="378"/>
      <c r="G54" s="315">
        <f t="shared" si="0"/>
        <v>0</v>
      </c>
      <c r="H54" s="317"/>
      <c r="I54" s="315">
        <f t="shared" si="1"/>
        <v>0</v>
      </c>
      <c r="J54" s="315">
        <f t="shared" si="2"/>
        <v>0</v>
      </c>
      <c r="K54" s="319"/>
      <c r="L54" s="537"/>
      <c r="M54" s="323"/>
    </row>
    <row r="55" spans="1:13">
      <c r="A55" s="552">
        <v>283812014</v>
      </c>
      <c r="B55" s="553" t="s">
        <v>432</v>
      </c>
      <c r="C55" s="382">
        <v>41803</v>
      </c>
      <c r="D55" s="380">
        <v>597532015</v>
      </c>
      <c r="E55" s="338" t="s">
        <v>764</v>
      </c>
      <c r="F55" s="332"/>
      <c r="G55" s="334">
        <f t="shared" si="0"/>
        <v>0</v>
      </c>
      <c r="H55" s="336"/>
      <c r="I55" s="334">
        <f t="shared" si="1"/>
        <v>0</v>
      </c>
      <c r="J55" s="334">
        <f t="shared" si="2"/>
        <v>0</v>
      </c>
      <c r="K55" s="338"/>
      <c r="L55" s="504"/>
      <c r="M55" s="343"/>
    </row>
    <row r="56" spans="1:13">
      <c r="A56" s="552">
        <v>283812014</v>
      </c>
      <c r="B56" s="553" t="s">
        <v>432</v>
      </c>
      <c r="C56" s="382">
        <v>41803</v>
      </c>
      <c r="D56" s="380">
        <v>596632015</v>
      </c>
      <c r="E56" s="338" t="s">
        <v>766</v>
      </c>
      <c r="F56" s="332"/>
      <c r="G56" s="334">
        <f t="shared" si="0"/>
        <v>0</v>
      </c>
      <c r="H56" s="336"/>
      <c r="I56" s="334">
        <f t="shared" si="1"/>
        <v>0</v>
      </c>
      <c r="J56" s="334">
        <f t="shared" si="2"/>
        <v>0</v>
      </c>
      <c r="K56" s="338"/>
      <c r="L56" s="504"/>
      <c r="M56" s="343"/>
    </row>
    <row r="57" spans="1:13">
      <c r="A57" s="552">
        <v>283812014</v>
      </c>
      <c r="B57" s="553" t="s">
        <v>432</v>
      </c>
      <c r="C57" s="382">
        <v>41803</v>
      </c>
      <c r="D57" s="380">
        <v>597182015</v>
      </c>
      <c r="E57" s="338" t="s">
        <v>769</v>
      </c>
      <c r="F57" s="332"/>
      <c r="G57" s="334">
        <f t="shared" si="0"/>
        <v>0</v>
      </c>
      <c r="H57" s="336"/>
      <c r="I57" s="334">
        <f t="shared" si="1"/>
        <v>0</v>
      </c>
      <c r="J57" s="334">
        <f t="shared" si="2"/>
        <v>0</v>
      </c>
      <c r="K57" s="338"/>
      <c r="L57" s="504"/>
      <c r="M57" s="343"/>
    </row>
    <row r="58" spans="1:13">
      <c r="A58" s="552">
        <v>283812014</v>
      </c>
      <c r="B58" s="553" t="s">
        <v>432</v>
      </c>
      <c r="C58" s="382">
        <v>41803</v>
      </c>
      <c r="D58" s="380">
        <v>597222015</v>
      </c>
      <c r="E58" s="338" t="s">
        <v>770</v>
      </c>
      <c r="F58" s="332"/>
      <c r="G58" s="334">
        <f t="shared" si="0"/>
        <v>0</v>
      </c>
      <c r="H58" s="336"/>
      <c r="I58" s="334">
        <f t="shared" si="1"/>
        <v>0</v>
      </c>
      <c r="J58" s="334">
        <f t="shared" si="2"/>
        <v>0</v>
      </c>
      <c r="K58" s="338"/>
      <c r="L58" s="504"/>
      <c r="M58" s="343"/>
    </row>
    <row r="59" spans="1:13">
      <c r="A59" s="552">
        <v>283812014</v>
      </c>
      <c r="B59" s="553" t="s">
        <v>432</v>
      </c>
      <c r="C59" s="382">
        <v>41803</v>
      </c>
      <c r="D59" s="380">
        <v>596552015</v>
      </c>
      <c r="E59" s="338" t="s">
        <v>771</v>
      </c>
      <c r="F59" s="332"/>
      <c r="G59" s="334">
        <f t="shared" si="0"/>
        <v>0</v>
      </c>
      <c r="H59" s="336"/>
      <c r="I59" s="334">
        <f t="shared" si="1"/>
        <v>0</v>
      </c>
      <c r="J59" s="334">
        <f t="shared" si="2"/>
        <v>0</v>
      </c>
      <c r="K59" s="338"/>
      <c r="L59" s="504"/>
      <c r="M59" s="343"/>
    </row>
    <row r="60" spans="1:13">
      <c r="A60" s="552">
        <v>283812014</v>
      </c>
      <c r="B60" s="553" t="s">
        <v>432</v>
      </c>
      <c r="C60" s="382">
        <v>41803</v>
      </c>
      <c r="D60" s="380">
        <v>596522015</v>
      </c>
      <c r="E60" s="338" t="s">
        <v>773</v>
      </c>
      <c r="F60" s="332"/>
      <c r="G60" s="334">
        <f t="shared" si="0"/>
        <v>0</v>
      </c>
      <c r="H60" s="336"/>
      <c r="I60" s="334">
        <f t="shared" si="1"/>
        <v>0</v>
      </c>
      <c r="J60" s="334">
        <f t="shared" si="2"/>
        <v>0</v>
      </c>
      <c r="K60" s="338"/>
      <c r="L60" s="504"/>
      <c r="M60" s="343"/>
    </row>
    <row r="61" spans="1:13">
      <c r="A61" s="552">
        <v>283812014</v>
      </c>
      <c r="B61" s="553" t="s">
        <v>432</v>
      </c>
      <c r="C61" s="382">
        <v>41803</v>
      </c>
      <c r="D61" s="380">
        <v>597512015</v>
      </c>
      <c r="E61" s="338" t="s">
        <v>775</v>
      </c>
      <c r="F61" s="332"/>
      <c r="G61" s="334">
        <f t="shared" si="0"/>
        <v>0</v>
      </c>
      <c r="H61" s="336"/>
      <c r="I61" s="334">
        <f t="shared" si="1"/>
        <v>0</v>
      </c>
      <c r="J61" s="334">
        <f t="shared" si="2"/>
        <v>0</v>
      </c>
      <c r="K61" s="338"/>
      <c r="L61" s="504"/>
      <c r="M61" s="343"/>
    </row>
    <row r="62" spans="1:13">
      <c r="A62" s="552">
        <v>283812014</v>
      </c>
      <c r="B62" s="553" t="s">
        <v>432</v>
      </c>
      <c r="C62" s="382">
        <v>41803</v>
      </c>
      <c r="D62" s="380">
        <v>597502015</v>
      </c>
      <c r="E62" s="338" t="s">
        <v>776</v>
      </c>
      <c r="F62" s="332"/>
      <c r="G62" s="334">
        <f t="shared" si="0"/>
        <v>0</v>
      </c>
      <c r="H62" s="336"/>
      <c r="I62" s="334">
        <f t="shared" si="1"/>
        <v>0</v>
      </c>
      <c r="J62" s="334">
        <f t="shared" si="2"/>
        <v>0</v>
      </c>
      <c r="K62" s="338"/>
      <c r="L62" s="504"/>
      <c r="M62" s="343"/>
    </row>
    <row r="63" spans="1:13">
      <c r="A63" s="552">
        <v>283812014</v>
      </c>
      <c r="B63" s="553" t="s">
        <v>432</v>
      </c>
      <c r="C63" s="382">
        <v>41803</v>
      </c>
      <c r="D63" s="380">
        <v>597192015</v>
      </c>
      <c r="E63" s="338" t="s">
        <v>778</v>
      </c>
      <c r="F63" s="332"/>
      <c r="G63" s="334">
        <f t="shared" si="0"/>
        <v>0</v>
      </c>
      <c r="H63" s="336"/>
      <c r="I63" s="334">
        <f t="shared" si="1"/>
        <v>0</v>
      </c>
      <c r="J63" s="334">
        <f t="shared" si="2"/>
        <v>0</v>
      </c>
      <c r="K63" s="338"/>
      <c r="L63" s="504"/>
      <c r="M63" s="343"/>
    </row>
    <row r="64" spans="1:13">
      <c r="A64" s="552">
        <v>283812014</v>
      </c>
      <c r="B64" s="553" t="s">
        <v>432</v>
      </c>
      <c r="C64" s="382">
        <v>41803</v>
      </c>
      <c r="D64" s="380">
        <v>596582015</v>
      </c>
      <c r="E64" s="338" t="s">
        <v>779</v>
      </c>
      <c r="F64" s="332"/>
      <c r="G64" s="334">
        <f t="shared" si="0"/>
        <v>0</v>
      </c>
      <c r="H64" s="336"/>
      <c r="I64" s="334">
        <f t="shared" si="1"/>
        <v>0</v>
      </c>
      <c r="J64" s="334">
        <f t="shared" si="2"/>
        <v>0</v>
      </c>
      <c r="K64" s="338"/>
      <c r="L64" s="504"/>
      <c r="M64" s="343"/>
    </row>
    <row r="65" spans="1:13">
      <c r="A65" s="552">
        <v>283812014</v>
      </c>
      <c r="B65" s="553" t="s">
        <v>432</v>
      </c>
      <c r="C65" s="382">
        <v>41803</v>
      </c>
      <c r="D65" s="380">
        <v>596542015</v>
      </c>
      <c r="E65" s="338" t="s">
        <v>781</v>
      </c>
      <c r="F65" s="332"/>
      <c r="G65" s="334">
        <f t="shared" si="0"/>
        <v>0</v>
      </c>
      <c r="H65" s="336"/>
      <c r="I65" s="334">
        <f t="shared" si="1"/>
        <v>0</v>
      </c>
      <c r="J65" s="334">
        <f t="shared" si="2"/>
        <v>0</v>
      </c>
      <c r="K65" s="338"/>
      <c r="L65" s="504"/>
      <c r="M65" s="343"/>
    </row>
    <row r="66" spans="1:13">
      <c r="A66" s="552">
        <v>283812014</v>
      </c>
      <c r="B66" s="553" t="s">
        <v>432</v>
      </c>
      <c r="C66" s="382">
        <v>41803</v>
      </c>
      <c r="D66" s="380">
        <v>597172015</v>
      </c>
      <c r="E66" s="338" t="s">
        <v>783</v>
      </c>
      <c r="F66" s="332"/>
      <c r="G66" s="334">
        <f t="shared" si="0"/>
        <v>0</v>
      </c>
      <c r="H66" s="336"/>
      <c r="I66" s="334">
        <f t="shared" si="1"/>
        <v>0</v>
      </c>
      <c r="J66" s="334">
        <f t="shared" si="2"/>
        <v>0</v>
      </c>
      <c r="K66" s="338"/>
      <c r="L66" s="504"/>
      <c r="M66" s="343"/>
    </row>
    <row r="67" spans="1:13">
      <c r="A67" s="552">
        <v>283812014</v>
      </c>
      <c r="B67" s="553" t="s">
        <v>432</v>
      </c>
      <c r="C67" s="382">
        <v>41803</v>
      </c>
      <c r="D67" s="380">
        <v>597252015</v>
      </c>
      <c r="E67" s="338" t="s">
        <v>785</v>
      </c>
      <c r="F67" s="332"/>
      <c r="G67" s="334">
        <f t="shared" si="0"/>
        <v>0</v>
      </c>
      <c r="H67" s="336"/>
      <c r="I67" s="334">
        <f t="shared" si="1"/>
        <v>0</v>
      </c>
      <c r="J67" s="334">
        <f t="shared" si="2"/>
        <v>0</v>
      </c>
      <c r="K67" s="338"/>
      <c r="L67" s="504"/>
      <c r="M67" s="343"/>
    </row>
    <row r="68" spans="1:13">
      <c r="A68" s="554">
        <v>283812014</v>
      </c>
      <c r="B68" s="555" t="s">
        <v>432</v>
      </c>
      <c r="C68" s="388">
        <v>41803</v>
      </c>
      <c r="D68" s="387">
        <v>597212015</v>
      </c>
      <c r="E68" s="361" t="s">
        <v>786</v>
      </c>
      <c r="F68" s="439"/>
      <c r="G68" s="357">
        <f t="shared" si="0"/>
        <v>0</v>
      </c>
      <c r="H68" s="359"/>
      <c r="I68" s="357">
        <f t="shared" si="1"/>
        <v>0</v>
      </c>
      <c r="J68" s="357">
        <f t="shared" si="2"/>
        <v>0</v>
      </c>
      <c r="K68" s="361"/>
      <c r="L68" s="531"/>
      <c r="M68" s="365"/>
    </row>
    <row r="69" spans="1:13">
      <c r="A69" s="426">
        <v>19012007</v>
      </c>
      <c r="B69" s="375" t="s">
        <v>22</v>
      </c>
      <c r="C69" s="376">
        <v>39114</v>
      </c>
      <c r="D69" s="375">
        <v>295732016</v>
      </c>
      <c r="E69" s="319" t="s">
        <v>788</v>
      </c>
      <c r="F69" s="378"/>
      <c r="G69" s="315">
        <f t="shared" si="0"/>
        <v>0</v>
      </c>
      <c r="H69" s="317">
        <v>0.1</v>
      </c>
      <c r="I69" s="315">
        <f t="shared" si="1"/>
        <v>0</v>
      </c>
      <c r="J69" s="315">
        <f t="shared" si="2"/>
        <v>0</v>
      </c>
      <c r="K69" s="319"/>
      <c r="L69" s="579"/>
      <c r="M69" s="323"/>
    </row>
    <row r="70" spans="1:13">
      <c r="A70" s="429">
        <v>19012007</v>
      </c>
      <c r="B70" s="380" t="s">
        <v>22</v>
      </c>
      <c r="C70" s="382">
        <v>39114</v>
      </c>
      <c r="D70" s="380">
        <v>295722016</v>
      </c>
      <c r="E70" s="338" t="s">
        <v>789</v>
      </c>
      <c r="F70" s="332"/>
      <c r="G70" s="334">
        <f t="shared" si="0"/>
        <v>0</v>
      </c>
      <c r="H70" s="336">
        <v>0.1</v>
      </c>
      <c r="I70" s="334">
        <f t="shared" si="1"/>
        <v>0</v>
      </c>
      <c r="J70" s="334">
        <f t="shared" si="2"/>
        <v>0</v>
      </c>
      <c r="K70" s="338"/>
      <c r="L70" s="558"/>
      <c r="M70" s="343"/>
    </row>
    <row r="71" spans="1:13">
      <c r="A71" s="429">
        <v>19012007</v>
      </c>
      <c r="B71" s="380" t="s">
        <v>22</v>
      </c>
      <c r="C71" s="382">
        <v>39114</v>
      </c>
      <c r="D71" s="380">
        <v>295682016</v>
      </c>
      <c r="E71" s="338" t="s">
        <v>791</v>
      </c>
      <c r="F71" s="332"/>
      <c r="G71" s="334">
        <f t="shared" si="0"/>
        <v>0</v>
      </c>
      <c r="H71" s="336">
        <v>0.1</v>
      </c>
      <c r="I71" s="334">
        <f t="shared" si="1"/>
        <v>0</v>
      </c>
      <c r="J71" s="334">
        <f t="shared" si="2"/>
        <v>0</v>
      </c>
      <c r="K71" s="338"/>
      <c r="L71" s="558"/>
      <c r="M71" s="343"/>
    </row>
    <row r="72" spans="1:13">
      <c r="A72" s="434">
        <v>19012007</v>
      </c>
      <c r="B72" s="387" t="s">
        <v>22</v>
      </c>
      <c r="C72" s="388">
        <v>39114</v>
      </c>
      <c r="D72" s="387">
        <v>295652016</v>
      </c>
      <c r="E72" s="361" t="s">
        <v>793</v>
      </c>
      <c r="F72" s="439"/>
      <c r="G72" s="357">
        <f t="shared" si="0"/>
        <v>0</v>
      </c>
      <c r="H72" s="359">
        <v>0.1</v>
      </c>
      <c r="I72" s="357">
        <f t="shared" si="1"/>
        <v>0</v>
      </c>
      <c r="J72" s="357">
        <f t="shared" si="2"/>
        <v>0</v>
      </c>
      <c r="K72" s="361"/>
      <c r="L72" s="568"/>
      <c r="M72" s="365"/>
    </row>
    <row r="73" spans="1:13">
      <c r="A73" s="426">
        <v>340512013</v>
      </c>
      <c r="B73" s="375" t="s">
        <v>432</v>
      </c>
      <c r="C73" s="376">
        <v>41481</v>
      </c>
      <c r="D73" s="375">
        <v>223612016</v>
      </c>
      <c r="E73" s="319" t="s">
        <v>795</v>
      </c>
      <c r="F73" s="378">
        <v>274673.21999999997</v>
      </c>
      <c r="G73" s="315">
        <f t="shared" si="0"/>
        <v>13079.677142857141</v>
      </c>
      <c r="H73" s="317">
        <v>0.05</v>
      </c>
      <c r="I73" s="315">
        <f t="shared" si="1"/>
        <v>13079.677142857166</v>
      </c>
      <c r="J73" s="315">
        <f t="shared" si="2"/>
        <v>13079.677142857166</v>
      </c>
      <c r="K73" s="319" t="s">
        <v>254</v>
      </c>
      <c r="L73" s="556" t="s">
        <v>81</v>
      </c>
      <c r="M73" s="323"/>
    </row>
    <row r="74" spans="1:13">
      <c r="A74" s="429">
        <v>340512013</v>
      </c>
      <c r="B74" s="382" t="s">
        <v>432</v>
      </c>
      <c r="C74" s="382">
        <v>41481</v>
      </c>
      <c r="D74" s="380"/>
      <c r="E74" s="338" t="s">
        <v>798</v>
      </c>
      <c r="F74" s="332">
        <v>119290.09</v>
      </c>
      <c r="G74" s="334">
        <f t="shared" si="0"/>
        <v>5680.4804761904761</v>
      </c>
      <c r="H74" s="336">
        <v>0.05</v>
      </c>
      <c r="I74" s="334">
        <f t="shared" si="1"/>
        <v>5680.4804761904816</v>
      </c>
      <c r="J74" s="334">
        <f t="shared" si="2"/>
        <v>5680.4804761904816</v>
      </c>
      <c r="K74" s="338"/>
      <c r="L74" s="558"/>
      <c r="M74" s="343"/>
    </row>
    <row r="75" spans="1:13">
      <c r="A75" s="429">
        <v>340512013</v>
      </c>
      <c r="B75" s="382" t="s">
        <v>432</v>
      </c>
      <c r="C75" s="382">
        <v>41481</v>
      </c>
      <c r="D75" s="380">
        <v>223652016</v>
      </c>
      <c r="E75" s="338" t="s">
        <v>799</v>
      </c>
      <c r="F75" s="332">
        <v>167741.93</v>
      </c>
      <c r="G75" s="334">
        <f t="shared" si="0"/>
        <v>7987.7109523809522</v>
      </c>
      <c r="H75" s="336">
        <v>0.05</v>
      </c>
      <c r="I75" s="334">
        <f t="shared" si="1"/>
        <v>7987.7109523809631</v>
      </c>
      <c r="J75" s="334">
        <f t="shared" si="2"/>
        <v>7987.7109523809631</v>
      </c>
      <c r="K75" s="338" t="s">
        <v>254</v>
      </c>
      <c r="L75" s="574" t="s">
        <v>81</v>
      </c>
      <c r="M75" s="343"/>
    </row>
    <row r="76" spans="1:13">
      <c r="A76" s="429">
        <v>340512013</v>
      </c>
      <c r="B76" s="382" t="s">
        <v>432</v>
      </c>
      <c r="C76" s="382">
        <v>41481</v>
      </c>
      <c r="D76" s="380"/>
      <c r="E76" s="338" t="s">
        <v>802</v>
      </c>
      <c r="F76" s="332">
        <v>147005.25</v>
      </c>
      <c r="G76" s="334">
        <f t="shared" si="0"/>
        <v>7000.25</v>
      </c>
      <c r="H76" s="336">
        <v>0.05</v>
      </c>
      <c r="I76" s="334">
        <f t="shared" si="1"/>
        <v>7000.25</v>
      </c>
      <c r="J76" s="334">
        <f t="shared" si="2"/>
        <v>7000.25</v>
      </c>
      <c r="K76" s="338"/>
      <c r="L76" s="558"/>
      <c r="M76" s="343"/>
    </row>
    <row r="77" spans="1:13">
      <c r="A77" s="429">
        <v>340512013</v>
      </c>
      <c r="B77" s="382" t="s">
        <v>432</v>
      </c>
      <c r="C77" s="382">
        <v>41481</v>
      </c>
      <c r="D77" s="380">
        <v>223722016</v>
      </c>
      <c r="E77" s="338" t="s">
        <v>803</v>
      </c>
      <c r="F77" s="332">
        <v>56826.68</v>
      </c>
      <c r="G77" s="334">
        <f t="shared" si="0"/>
        <v>2706.0323809523811</v>
      </c>
      <c r="H77" s="336">
        <v>0.05</v>
      </c>
      <c r="I77" s="334">
        <f t="shared" si="1"/>
        <v>2706.0323809523834</v>
      </c>
      <c r="J77" s="334">
        <f t="shared" si="2"/>
        <v>2706.0323809523834</v>
      </c>
      <c r="K77" s="338" t="s">
        <v>254</v>
      </c>
      <c r="L77" s="574" t="s">
        <v>81</v>
      </c>
      <c r="M77" s="343"/>
    </row>
    <row r="78" spans="1:13">
      <c r="A78" s="429">
        <v>340512013</v>
      </c>
      <c r="B78" s="382" t="s">
        <v>432</v>
      </c>
      <c r="C78" s="382">
        <v>41481</v>
      </c>
      <c r="D78" s="380"/>
      <c r="E78" s="338" t="s">
        <v>806</v>
      </c>
      <c r="F78" s="332">
        <v>63401.06</v>
      </c>
      <c r="G78" s="334">
        <f t="shared" si="0"/>
        <v>3019.0980952380951</v>
      </c>
      <c r="H78" s="336">
        <v>0.05</v>
      </c>
      <c r="I78" s="334">
        <f t="shared" si="1"/>
        <v>3019.0980952380996</v>
      </c>
      <c r="J78" s="334">
        <f t="shared" si="2"/>
        <v>3019.0980952380996</v>
      </c>
      <c r="K78" s="338"/>
      <c r="L78" s="558"/>
      <c r="M78" s="343"/>
    </row>
    <row r="79" spans="1:13">
      <c r="A79" s="429">
        <v>340512013</v>
      </c>
      <c r="B79" s="382" t="s">
        <v>432</v>
      </c>
      <c r="C79" s="382">
        <v>41481</v>
      </c>
      <c r="D79" s="380"/>
      <c r="E79" s="338" t="s">
        <v>808</v>
      </c>
      <c r="F79" s="332">
        <v>102047.27</v>
      </c>
      <c r="G79" s="334">
        <f t="shared" si="0"/>
        <v>4859.39380952381</v>
      </c>
      <c r="H79" s="336">
        <v>0.05</v>
      </c>
      <c r="I79" s="334">
        <f t="shared" si="1"/>
        <v>4859.3938095238118</v>
      </c>
      <c r="J79" s="334">
        <f t="shared" si="2"/>
        <v>4859.3938095238118</v>
      </c>
      <c r="K79" s="338"/>
      <c r="L79" s="558"/>
      <c r="M79" s="343"/>
    </row>
    <row r="80" spans="1:13">
      <c r="A80" s="429">
        <v>340512013</v>
      </c>
      <c r="B80" s="382" t="s">
        <v>432</v>
      </c>
      <c r="C80" s="382">
        <v>41481</v>
      </c>
      <c r="D80" s="380"/>
      <c r="E80" s="338" t="s">
        <v>809</v>
      </c>
      <c r="F80" s="332">
        <v>17149.900000000001</v>
      </c>
      <c r="G80" s="334">
        <f t="shared" si="0"/>
        <v>816.66190476190479</v>
      </c>
      <c r="H80" s="336">
        <v>0.05</v>
      </c>
      <c r="I80" s="334">
        <f t="shared" si="1"/>
        <v>816.66190476190604</v>
      </c>
      <c r="J80" s="334">
        <f t="shared" si="2"/>
        <v>816.66190476190604</v>
      </c>
      <c r="K80" s="338"/>
      <c r="L80" s="558"/>
      <c r="M80" s="343"/>
    </row>
    <row r="81" spans="1:13">
      <c r="A81" s="429">
        <v>340512013</v>
      </c>
      <c r="B81" s="382" t="s">
        <v>432</v>
      </c>
      <c r="C81" s="382">
        <v>41481</v>
      </c>
      <c r="D81" s="380"/>
      <c r="E81" s="338" t="s">
        <v>811</v>
      </c>
      <c r="F81" s="332">
        <v>148314.82999999999</v>
      </c>
      <c r="G81" s="334">
        <f t="shared" si="0"/>
        <v>7062.6109523809519</v>
      </c>
      <c r="H81" s="336">
        <v>0.05</v>
      </c>
      <c r="I81" s="334">
        <f t="shared" si="1"/>
        <v>7062.6109523809573</v>
      </c>
      <c r="J81" s="334">
        <f t="shared" si="2"/>
        <v>7062.6109523809573</v>
      </c>
      <c r="K81" s="338"/>
      <c r="L81" s="558"/>
      <c r="M81" s="343"/>
    </row>
    <row r="82" spans="1:13">
      <c r="A82" s="429">
        <v>340512013</v>
      </c>
      <c r="B82" s="382" t="s">
        <v>432</v>
      </c>
      <c r="C82" s="382">
        <v>41481</v>
      </c>
      <c r="D82" s="380">
        <v>223822016</v>
      </c>
      <c r="E82" s="338" t="s">
        <v>813</v>
      </c>
      <c r="F82" s="332">
        <v>32481.47</v>
      </c>
      <c r="G82" s="334">
        <f t="shared" si="0"/>
        <v>1546.7366666666667</v>
      </c>
      <c r="H82" s="336">
        <v>0.05</v>
      </c>
      <c r="I82" s="334">
        <f t="shared" si="1"/>
        <v>1546.7366666666676</v>
      </c>
      <c r="J82" s="334">
        <f t="shared" si="2"/>
        <v>1546.7366666666676</v>
      </c>
      <c r="K82" s="338" t="s">
        <v>79</v>
      </c>
      <c r="L82" s="574" t="s">
        <v>81</v>
      </c>
      <c r="M82" s="343"/>
    </row>
    <row r="83" spans="1:13">
      <c r="A83" s="429">
        <v>340512013</v>
      </c>
      <c r="B83" s="382" t="s">
        <v>432</v>
      </c>
      <c r="C83" s="382">
        <v>41481</v>
      </c>
      <c r="D83" s="380"/>
      <c r="E83" s="338" t="s">
        <v>815</v>
      </c>
      <c r="F83" s="332">
        <v>132568.17000000001</v>
      </c>
      <c r="G83" s="334">
        <f t="shared" si="0"/>
        <v>6312.77</v>
      </c>
      <c r="H83" s="336">
        <v>0.05</v>
      </c>
      <c r="I83" s="334">
        <f t="shared" si="1"/>
        <v>6312.7700000000041</v>
      </c>
      <c r="J83" s="334">
        <f t="shared" si="2"/>
        <v>6312.7700000000041</v>
      </c>
      <c r="K83" s="338"/>
      <c r="L83" s="558"/>
      <c r="M83" s="343"/>
    </row>
    <row r="84" spans="1:13">
      <c r="A84" s="429">
        <v>340512013</v>
      </c>
      <c r="B84" s="382" t="s">
        <v>432</v>
      </c>
      <c r="C84" s="382">
        <v>41481</v>
      </c>
      <c r="D84" s="380"/>
      <c r="E84" s="338" t="s">
        <v>818</v>
      </c>
      <c r="F84" s="332">
        <v>41768.82</v>
      </c>
      <c r="G84" s="334">
        <f t="shared" si="0"/>
        <v>1988.9914285714285</v>
      </c>
      <c r="H84" s="336">
        <v>0.05</v>
      </c>
      <c r="I84" s="334">
        <f t="shared" si="1"/>
        <v>1988.9914285714331</v>
      </c>
      <c r="J84" s="334">
        <f t="shared" si="2"/>
        <v>1988.9914285714331</v>
      </c>
      <c r="K84" s="338"/>
      <c r="L84" s="558"/>
      <c r="M84" s="343"/>
    </row>
    <row r="85" spans="1:13">
      <c r="A85" s="429">
        <v>340512013</v>
      </c>
      <c r="B85" s="382" t="s">
        <v>432</v>
      </c>
      <c r="C85" s="382">
        <v>41481</v>
      </c>
      <c r="D85" s="380"/>
      <c r="E85" s="338" t="s">
        <v>820</v>
      </c>
      <c r="F85" s="332">
        <v>51742.23</v>
      </c>
      <c r="G85" s="334">
        <f t="shared" si="0"/>
        <v>2463.9157142857148</v>
      </c>
      <c r="H85" s="336">
        <v>0.05</v>
      </c>
      <c r="I85" s="334">
        <f t="shared" si="1"/>
        <v>2463.9157142857148</v>
      </c>
      <c r="J85" s="334">
        <f t="shared" si="2"/>
        <v>2463.9157142857148</v>
      </c>
      <c r="K85" s="338"/>
      <c r="L85" s="558"/>
      <c r="M85" s="343"/>
    </row>
    <row r="86" spans="1:13">
      <c r="A86" s="429">
        <v>340512013</v>
      </c>
      <c r="B86" s="382" t="s">
        <v>432</v>
      </c>
      <c r="C86" s="382">
        <v>41481</v>
      </c>
      <c r="D86" s="380"/>
      <c r="E86" s="338" t="s">
        <v>822</v>
      </c>
      <c r="F86" s="332">
        <v>83636.31</v>
      </c>
      <c r="G86" s="334">
        <f t="shared" si="0"/>
        <v>3982.6814285714281</v>
      </c>
      <c r="H86" s="336">
        <v>0.05</v>
      </c>
      <c r="I86" s="334">
        <f t="shared" si="1"/>
        <v>3982.6814285714354</v>
      </c>
      <c r="J86" s="334">
        <f t="shared" si="2"/>
        <v>3982.6814285714354</v>
      </c>
      <c r="K86" s="338"/>
      <c r="L86" s="558"/>
      <c r="M86" s="343"/>
    </row>
    <row r="87" spans="1:13">
      <c r="A87" s="434">
        <v>340512013</v>
      </c>
      <c r="B87" s="388" t="s">
        <v>432</v>
      </c>
      <c r="C87" s="388">
        <v>41481</v>
      </c>
      <c r="D87" s="387"/>
      <c r="E87" s="361" t="s">
        <v>824</v>
      </c>
      <c r="F87" s="439">
        <v>26297.919999999998</v>
      </c>
      <c r="G87" s="357">
        <f t="shared" si="0"/>
        <v>1252.2819047619048</v>
      </c>
      <c r="H87" s="359">
        <v>0.05</v>
      </c>
      <c r="I87" s="357">
        <f t="shared" si="1"/>
        <v>1252.281904761905</v>
      </c>
      <c r="J87" s="357">
        <f t="shared" si="2"/>
        <v>1252.281904761905</v>
      </c>
      <c r="K87" s="361"/>
      <c r="L87" s="568"/>
      <c r="M87" s="365"/>
    </row>
    <row r="88" spans="1:13">
      <c r="A88" s="371">
        <v>136302002</v>
      </c>
      <c r="B88" s="274" t="s">
        <v>22</v>
      </c>
      <c r="C88" s="275">
        <v>37481</v>
      </c>
      <c r="D88" s="274">
        <v>291722016</v>
      </c>
      <c r="E88" s="293" t="s">
        <v>825</v>
      </c>
      <c r="F88" s="373">
        <v>32422.83</v>
      </c>
      <c r="G88" s="283">
        <f t="shared" si="0"/>
        <v>2701.9025000000001</v>
      </c>
      <c r="H88" s="286">
        <v>0.2</v>
      </c>
      <c r="I88" s="283">
        <f t="shared" si="1"/>
        <v>5403.8050000000003</v>
      </c>
      <c r="J88" s="283">
        <f t="shared" si="2"/>
        <v>3458.4352000000003</v>
      </c>
      <c r="K88" s="293"/>
      <c r="L88" s="581"/>
      <c r="M88" s="297"/>
    </row>
    <row r="89" spans="1:13">
      <c r="A89" s="426">
        <v>632002015</v>
      </c>
      <c r="B89" s="375" t="s">
        <v>828</v>
      </c>
      <c r="C89" s="376">
        <v>42355</v>
      </c>
      <c r="D89" s="375">
        <v>298202016</v>
      </c>
      <c r="E89" s="319" t="s">
        <v>829</v>
      </c>
      <c r="F89" s="378">
        <v>50679.98</v>
      </c>
      <c r="G89" s="315">
        <f t="shared" si="0"/>
        <v>5067.9980000000005</v>
      </c>
      <c r="H89" s="317">
        <v>0</v>
      </c>
      <c r="I89" s="315">
        <f t="shared" si="1"/>
        <v>0</v>
      </c>
      <c r="J89" s="315">
        <f t="shared" si="2"/>
        <v>0</v>
      </c>
      <c r="K89" s="319"/>
      <c r="L89" s="579"/>
      <c r="M89" s="323"/>
    </row>
    <row r="90" spans="1:13">
      <c r="A90" s="429">
        <v>632002015</v>
      </c>
      <c r="B90" s="382" t="s">
        <v>828</v>
      </c>
      <c r="C90" s="382">
        <v>42355</v>
      </c>
      <c r="D90" s="380"/>
      <c r="E90" s="338" t="s">
        <v>830</v>
      </c>
      <c r="F90" s="332"/>
      <c r="G90" s="334">
        <f t="shared" si="0"/>
        <v>0</v>
      </c>
      <c r="H90" s="336">
        <v>0</v>
      </c>
      <c r="I90" s="334">
        <f t="shared" si="1"/>
        <v>0</v>
      </c>
      <c r="J90" s="334">
        <f t="shared" si="2"/>
        <v>0</v>
      </c>
      <c r="K90" s="338"/>
      <c r="L90" s="558"/>
      <c r="M90" s="343"/>
    </row>
    <row r="91" spans="1:13">
      <c r="A91" s="429">
        <v>632002015</v>
      </c>
      <c r="B91" s="382" t="s">
        <v>828</v>
      </c>
      <c r="C91" s="382">
        <v>42355</v>
      </c>
      <c r="D91" s="380"/>
      <c r="E91" s="338" t="s">
        <v>832</v>
      </c>
      <c r="F91" s="332"/>
      <c r="G91" s="334">
        <f t="shared" si="0"/>
        <v>0</v>
      </c>
      <c r="H91" s="336">
        <v>0</v>
      </c>
      <c r="I91" s="334">
        <f t="shared" si="1"/>
        <v>0</v>
      </c>
      <c r="J91" s="334">
        <f t="shared" si="2"/>
        <v>0</v>
      </c>
      <c r="K91" s="338"/>
      <c r="L91" s="558"/>
      <c r="M91" s="343"/>
    </row>
    <row r="92" spans="1:13">
      <c r="A92" s="429">
        <v>632002015</v>
      </c>
      <c r="B92" s="382" t="s">
        <v>828</v>
      </c>
      <c r="C92" s="382">
        <v>42355</v>
      </c>
      <c r="D92" s="380"/>
      <c r="E92" s="338" t="s">
        <v>833</v>
      </c>
      <c r="F92" s="332"/>
      <c r="G92" s="334">
        <f t="shared" si="0"/>
        <v>0</v>
      </c>
      <c r="H92" s="336">
        <v>0</v>
      </c>
      <c r="I92" s="334">
        <f t="shared" si="1"/>
        <v>0</v>
      </c>
      <c r="J92" s="334">
        <f t="shared" si="2"/>
        <v>0</v>
      </c>
      <c r="K92" s="338"/>
      <c r="L92" s="558"/>
      <c r="M92" s="343"/>
    </row>
    <row r="93" spans="1:13">
      <c r="A93" s="429">
        <v>632002015</v>
      </c>
      <c r="B93" s="382" t="s">
        <v>828</v>
      </c>
      <c r="C93" s="382">
        <v>42355</v>
      </c>
      <c r="D93" s="380"/>
      <c r="E93" s="338" t="s">
        <v>834</v>
      </c>
      <c r="F93" s="332"/>
      <c r="G93" s="334">
        <f t="shared" si="0"/>
        <v>0</v>
      </c>
      <c r="H93" s="336">
        <v>0</v>
      </c>
      <c r="I93" s="334">
        <f t="shared" si="1"/>
        <v>0</v>
      </c>
      <c r="J93" s="334">
        <f t="shared" si="2"/>
        <v>0</v>
      </c>
      <c r="K93" s="338"/>
      <c r="L93" s="558"/>
      <c r="M93" s="343"/>
    </row>
    <row r="94" spans="1:13">
      <c r="A94" s="429">
        <v>632002015</v>
      </c>
      <c r="B94" s="382" t="s">
        <v>828</v>
      </c>
      <c r="C94" s="382">
        <v>42355</v>
      </c>
      <c r="D94" s="380"/>
      <c r="E94" s="338" t="s">
        <v>835</v>
      </c>
      <c r="F94" s="332"/>
      <c r="G94" s="334">
        <f t="shared" si="0"/>
        <v>0</v>
      </c>
      <c r="H94" s="336">
        <v>0</v>
      </c>
      <c r="I94" s="334">
        <f t="shared" si="1"/>
        <v>0</v>
      </c>
      <c r="J94" s="334">
        <f t="shared" si="2"/>
        <v>0</v>
      </c>
      <c r="K94" s="338"/>
      <c r="L94" s="558"/>
      <c r="M94" s="343"/>
    </row>
    <row r="95" spans="1:13">
      <c r="A95" s="429">
        <v>632002015</v>
      </c>
      <c r="B95" s="382" t="s">
        <v>828</v>
      </c>
      <c r="C95" s="382">
        <v>42355</v>
      </c>
      <c r="D95" s="380"/>
      <c r="E95" s="338" t="s">
        <v>836</v>
      </c>
      <c r="F95" s="332"/>
      <c r="G95" s="334">
        <f t="shared" si="0"/>
        <v>0</v>
      </c>
      <c r="H95" s="336">
        <v>0</v>
      </c>
      <c r="I95" s="334">
        <f t="shared" si="1"/>
        <v>0</v>
      </c>
      <c r="J95" s="334">
        <f t="shared" si="2"/>
        <v>0</v>
      </c>
      <c r="K95" s="338"/>
      <c r="L95" s="558"/>
      <c r="M95" s="343"/>
    </row>
    <row r="96" spans="1:13">
      <c r="A96" s="429">
        <v>632002015</v>
      </c>
      <c r="B96" s="382" t="s">
        <v>828</v>
      </c>
      <c r="C96" s="382">
        <v>42355</v>
      </c>
      <c r="D96" s="380"/>
      <c r="E96" s="338" t="s">
        <v>837</v>
      </c>
      <c r="F96" s="332"/>
      <c r="G96" s="334">
        <f t="shared" si="0"/>
        <v>0</v>
      </c>
      <c r="H96" s="336">
        <v>0</v>
      </c>
      <c r="I96" s="334">
        <f t="shared" si="1"/>
        <v>0</v>
      </c>
      <c r="J96" s="334">
        <f t="shared" si="2"/>
        <v>0</v>
      </c>
      <c r="K96" s="338"/>
      <c r="L96" s="558"/>
      <c r="M96" s="343"/>
    </row>
    <row r="97" spans="1:13">
      <c r="A97" s="429">
        <v>632002015</v>
      </c>
      <c r="B97" s="382" t="s">
        <v>828</v>
      </c>
      <c r="C97" s="382">
        <v>42355</v>
      </c>
      <c r="D97" s="380"/>
      <c r="E97" s="338" t="s">
        <v>838</v>
      </c>
      <c r="F97" s="332"/>
      <c r="G97" s="334">
        <f t="shared" si="0"/>
        <v>0</v>
      </c>
      <c r="H97" s="336">
        <v>0</v>
      </c>
      <c r="I97" s="334">
        <f t="shared" si="1"/>
        <v>0</v>
      </c>
      <c r="J97" s="334">
        <f t="shared" si="2"/>
        <v>0</v>
      </c>
      <c r="K97" s="338"/>
      <c r="L97" s="558"/>
      <c r="M97" s="343"/>
    </row>
    <row r="98" spans="1:13">
      <c r="A98" s="429">
        <v>632002015</v>
      </c>
      <c r="B98" s="382" t="s">
        <v>828</v>
      </c>
      <c r="C98" s="382">
        <v>42355</v>
      </c>
      <c r="D98" s="380"/>
      <c r="E98" s="338" t="s">
        <v>840</v>
      </c>
      <c r="F98" s="332"/>
      <c r="G98" s="334">
        <f t="shared" si="0"/>
        <v>0</v>
      </c>
      <c r="H98" s="336">
        <v>0</v>
      </c>
      <c r="I98" s="334">
        <f t="shared" si="1"/>
        <v>0</v>
      </c>
      <c r="J98" s="334">
        <f t="shared" si="2"/>
        <v>0</v>
      </c>
      <c r="K98" s="338"/>
      <c r="L98" s="558"/>
      <c r="M98" s="343"/>
    </row>
    <row r="99" spans="1:13">
      <c r="A99" s="429">
        <v>632002015</v>
      </c>
      <c r="B99" s="382" t="s">
        <v>828</v>
      </c>
      <c r="C99" s="382">
        <v>42355</v>
      </c>
      <c r="D99" s="380">
        <v>297882016</v>
      </c>
      <c r="E99" s="338" t="s">
        <v>843</v>
      </c>
      <c r="F99" s="332">
        <v>66928.38</v>
      </c>
      <c r="G99" s="334">
        <f t="shared" si="0"/>
        <v>6692.8380000000006</v>
      </c>
      <c r="H99" s="336">
        <v>0</v>
      </c>
      <c r="I99" s="334">
        <f t="shared" si="1"/>
        <v>0</v>
      </c>
      <c r="J99" s="334">
        <f t="shared" si="2"/>
        <v>0</v>
      </c>
      <c r="K99" s="338" t="s">
        <v>79</v>
      </c>
      <c r="L99" s="574" t="s">
        <v>81</v>
      </c>
      <c r="M99" s="343"/>
    </row>
    <row r="100" spans="1:13">
      <c r="A100" s="429">
        <v>632002015</v>
      </c>
      <c r="B100" s="382" t="s">
        <v>828</v>
      </c>
      <c r="C100" s="382">
        <v>42355</v>
      </c>
      <c r="D100" s="380"/>
      <c r="E100" s="338" t="s">
        <v>844</v>
      </c>
      <c r="F100" s="332"/>
      <c r="G100" s="334">
        <f t="shared" si="0"/>
        <v>0</v>
      </c>
      <c r="H100" s="336">
        <v>0</v>
      </c>
      <c r="I100" s="334">
        <f t="shared" si="1"/>
        <v>0</v>
      </c>
      <c r="J100" s="334">
        <f t="shared" si="2"/>
        <v>0</v>
      </c>
      <c r="K100" s="338"/>
      <c r="L100" s="558"/>
      <c r="M100" s="343"/>
    </row>
    <row r="101" spans="1:13">
      <c r="A101" s="429">
        <v>632002015</v>
      </c>
      <c r="B101" s="382" t="s">
        <v>828</v>
      </c>
      <c r="C101" s="382">
        <v>42355</v>
      </c>
      <c r="D101" s="380"/>
      <c r="E101" s="338" t="s">
        <v>845</v>
      </c>
      <c r="F101" s="345"/>
      <c r="G101" s="334">
        <f t="shared" si="0"/>
        <v>0</v>
      </c>
      <c r="H101" s="336">
        <v>0</v>
      </c>
      <c r="I101" s="334">
        <f t="shared" si="1"/>
        <v>0</v>
      </c>
      <c r="J101" s="334">
        <f t="shared" si="2"/>
        <v>0</v>
      </c>
      <c r="K101" s="338"/>
      <c r="L101" s="558"/>
      <c r="M101" s="343"/>
    </row>
    <row r="102" spans="1:13">
      <c r="A102" s="429">
        <v>632002015</v>
      </c>
      <c r="B102" s="382" t="s">
        <v>828</v>
      </c>
      <c r="C102" s="382">
        <v>42355</v>
      </c>
      <c r="D102" s="380"/>
      <c r="E102" s="338" t="s">
        <v>847</v>
      </c>
      <c r="F102" s="332"/>
      <c r="G102" s="334">
        <f t="shared" si="0"/>
        <v>0</v>
      </c>
      <c r="H102" s="336">
        <v>0</v>
      </c>
      <c r="I102" s="334">
        <f t="shared" si="1"/>
        <v>0</v>
      </c>
      <c r="J102" s="334">
        <f t="shared" si="2"/>
        <v>0</v>
      </c>
      <c r="K102" s="338"/>
      <c r="L102" s="558"/>
      <c r="M102" s="343"/>
    </row>
    <row r="103" spans="1:13">
      <c r="A103" s="429">
        <v>632002015</v>
      </c>
      <c r="B103" s="382" t="s">
        <v>828</v>
      </c>
      <c r="C103" s="382">
        <v>42355</v>
      </c>
      <c r="D103" s="380"/>
      <c r="E103" s="338" t="s">
        <v>741</v>
      </c>
      <c r="F103" s="332"/>
      <c r="G103" s="334">
        <f t="shared" si="0"/>
        <v>0</v>
      </c>
      <c r="H103" s="336">
        <v>0</v>
      </c>
      <c r="I103" s="334">
        <f t="shared" si="1"/>
        <v>0</v>
      </c>
      <c r="J103" s="334">
        <f t="shared" si="2"/>
        <v>0</v>
      </c>
      <c r="K103" s="338"/>
      <c r="L103" s="558"/>
      <c r="M103" s="343"/>
    </row>
    <row r="104" spans="1:13">
      <c r="A104" s="429">
        <v>632002015</v>
      </c>
      <c r="B104" s="382" t="s">
        <v>828</v>
      </c>
      <c r="C104" s="382">
        <v>42355</v>
      </c>
      <c r="D104" s="380"/>
      <c r="E104" s="338" t="s">
        <v>743</v>
      </c>
      <c r="F104" s="332"/>
      <c r="G104" s="334">
        <f t="shared" si="0"/>
        <v>0</v>
      </c>
      <c r="H104" s="336">
        <v>0</v>
      </c>
      <c r="I104" s="334">
        <f t="shared" si="1"/>
        <v>0</v>
      </c>
      <c r="J104" s="334">
        <f t="shared" si="2"/>
        <v>0</v>
      </c>
      <c r="K104" s="338"/>
      <c r="L104" s="558"/>
      <c r="M104" s="343"/>
    </row>
    <row r="105" spans="1:13">
      <c r="A105" s="429">
        <v>632002015</v>
      </c>
      <c r="B105" s="382" t="s">
        <v>828</v>
      </c>
      <c r="C105" s="382">
        <v>42355</v>
      </c>
      <c r="D105" s="380"/>
      <c r="E105" s="338" t="s">
        <v>850</v>
      </c>
      <c r="F105" s="332"/>
      <c r="G105" s="334">
        <f t="shared" si="0"/>
        <v>0</v>
      </c>
      <c r="H105" s="336">
        <v>0</v>
      </c>
      <c r="I105" s="334">
        <f t="shared" si="1"/>
        <v>0</v>
      </c>
      <c r="J105" s="334">
        <f t="shared" si="2"/>
        <v>0</v>
      </c>
      <c r="K105" s="338"/>
      <c r="L105" s="558"/>
      <c r="M105" s="343"/>
    </row>
    <row r="106" spans="1:13">
      <c r="A106" s="429">
        <v>632002015</v>
      </c>
      <c r="B106" s="382" t="s">
        <v>828</v>
      </c>
      <c r="C106" s="382">
        <v>42355</v>
      </c>
      <c r="D106" s="380"/>
      <c r="E106" s="338" t="s">
        <v>852</v>
      </c>
      <c r="F106" s="332"/>
      <c r="G106" s="334">
        <f t="shared" si="0"/>
        <v>0</v>
      </c>
      <c r="H106" s="336">
        <v>0</v>
      </c>
      <c r="I106" s="334">
        <f t="shared" si="1"/>
        <v>0</v>
      </c>
      <c r="J106" s="334">
        <f t="shared" si="2"/>
        <v>0</v>
      </c>
      <c r="K106" s="338"/>
      <c r="L106" s="558"/>
      <c r="M106" s="343"/>
    </row>
    <row r="107" spans="1:13">
      <c r="A107" s="429">
        <v>632002015</v>
      </c>
      <c r="B107" s="382" t="s">
        <v>828</v>
      </c>
      <c r="C107" s="382">
        <v>42355</v>
      </c>
      <c r="D107" s="500"/>
      <c r="E107" s="338" t="s">
        <v>854</v>
      </c>
      <c r="F107" s="332"/>
      <c r="G107" s="334">
        <f t="shared" si="0"/>
        <v>0</v>
      </c>
      <c r="H107" s="336">
        <v>0</v>
      </c>
      <c r="I107" s="334">
        <f t="shared" si="1"/>
        <v>0</v>
      </c>
      <c r="J107" s="334">
        <f t="shared" si="2"/>
        <v>0</v>
      </c>
      <c r="K107" s="338"/>
      <c r="L107" s="558"/>
      <c r="M107" s="343"/>
    </row>
    <row r="108" spans="1:13">
      <c r="A108" s="429">
        <v>632002015</v>
      </c>
      <c r="B108" s="382" t="s">
        <v>828</v>
      </c>
      <c r="C108" s="382">
        <v>42355</v>
      </c>
      <c r="D108" s="380"/>
      <c r="E108" s="338" t="s">
        <v>856</v>
      </c>
      <c r="F108" s="332"/>
      <c r="G108" s="334">
        <f t="shared" si="0"/>
        <v>0</v>
      </c>
      <c r="H108" s="336">
        <v>0</v>
      </c>
      <c r="I108" s="334">
        <f t="shared" si="1"/>
        <v>0</v>
      </c>
      <c r="J108" s="334">
        <f t="shared" si="2"/>
        <v>0</v>
      </c>
      <c r="K108" s="338"/>
      <c r="L108" s="558"/>
      <c r="M108" s="343"/>
    </row>
    <row r="109" spans="1:13">
      <c r="A109" s="429">
        <v>632002015</v>
      </c>
      <c r="B109" s="382" t="s">
        <v>828</v>
      </c>
      <c r="C109" s="382">
        <v>42355</v>
      </c>
      <c r="D109" s="380"/>
      <c r="E109" s="338" t="s">
        <v>858</v>
      </c>
      <c r="F109" s="332"/>
      <c r="G109" s="334">
        <f t="shared" si="0"/>
        <v>0</v>
      </c>
      <c r="H109" s="336">
        <v>0</v>
      </c>
      <c r="I109" s="334">
        <f t="shared" si="1"/>
        <v>0</v>
      </c>
      <c r="J109" s="334">
        <f t="shared" si="2"/>
        <v>0</v>
      </c>
      <c r="K109" s="338"/>
      <c r="L109" s="558"/>
      <c r="M109" s="343"/>
    </row>
    <row r="110" spans="1:13">
      <c r="A110" s="429">
        <v>632002015</v>
      </c>
      <c r="B110" s="382" t="s">
        <v>828</v>
      </c>
      <c r="C110" s="382">
        <v>42355</v>
      </c>
      <c r="D110" s="380"/>
      <c r="E110" s="338" t="s">
        <v>859</v>
      </c>
      <c r="F110" s="332"/>
      <c r="G110" s="334">
        <f t="shared" si="0"/>
        <v>0</v>
      </c>
      <c r="H110" s="336">
        <v>0</v>
      </c>
      <c r="I110" s="334">
        <f t="shared" si="1"/>
        <v>0</v>
      </c>
      <c r="J110" s="334">
        <f t="shared" si="2"/>
        <v>0</v>
      </c>
      <c r="K110" s="338"/>
      <c r="L110" s="558"/>
      <c r="M110" s="343"/>
    </row>
    <row r="111" spans="1:13">
      <c r="A111" s="429">
        <v>632002015</v>
      </c>
      <c r="B111" s="382" t="s">
        <v>828</v>
      </c>
      <c r="C111" s="382">
        <v>42355</v>
      </c>
      <c r="D111" s="500"/>
      <c r="E111" s="338" t="s">
        <v>861</v>
      </c>
      <c r="F111" s="332"/>
      <c r="G111" s="334">
        <f t="shared" si="0"/>
        <v>0</v>
      </c>
      <c r="H111" s="336">
        <v>0</v>
      </c>
      <c r="I111" s="334">
        <f t="shared" si="1"/>
        <v>0</v>
      </c>
      <c r="J111" s="334">
        <f t="shared" si="2"/>
        <v>0</v>
      </c>
      <c r="K111" s="338"/>
      <c r="L111" s="558"/>
      <c r="M111" s="343"/>
    </row>
    <row r="112" spans="1:13">
      <c r="A112" s="429">
        <v>632002015</v>
      </c>
      <c r="B112" s="382" t="s">
        <v>828</v>
      </c>
      <c r="C112" s="382">
        <v>42355</v>
      </c>
      <c r="D112" s="500"/>
      <c r="E112" s="338" t="s">
        <v>862</v>
      </c>
      <c r="F112" s="332"/>
      <c r="G112" s="334">
        <f t="shared" si="0"/>
        <v>0</v>
      </c>
      <c r="H112" s="336">
        <v>0</v>
      </c>
      <c r="I112" s="334">
        <f t="shared" si="1"/>
        <v>0</v>
      </c>
      <c r="J112" s="334">
        <f t="shared" si="2"/>
        <v>0</v>
      </c>
      <c r="K112" s="338"/>
      <c r="L112" s="558"/>
      <c r="M112" s="343"/>
    </row>
    <row r="113" spans="1:13">
      <c r="A113" s="429">
        <v>632002015</v>
      </c>
      <c r="B113" s="382" t="s">
        <v>828</v>
      </c>
      <c r="C113" s="382">
        <v>42355</v>
      </c>
      <c r="D113" s="380"/>
      <c r="E113" s="338" t="s">
        <v>864</v>
      </c>
      <c r="F113" s="332"/>
      <c r="G113" s="334">
        <f t="shared" si="0"/>
        <v>0</v>
      </c>
      <c r="H113" s="336">
        <v>0</v>
      </c>
      <c r="I113" s="334">
        <f t="shared" si="1"/>
        <v>0</v>
      </c>
      <c r="J113" s="334">
        <f t="shared" si="2"/>
        <v>0</v>
      </c>
      <c r="K113" s="338"/>
      <c r="L113" s="558"/>
      <c r="M113" s="343"/>
    </row>
    <row r="114" spans="1:13">
      <c r="A114" s="429">
        <v>632002015</v>
      </c>
      <c r="B114" s="382" t="s">
        <v>828</v>
      </c>
      <c r="C114" s="382">
        <v>42355</v>
      </c>
      <c r="D114" s="380"/>
      <c r="E114" s="338" t="s">
        <v>865</v>
      </c>
      <c r="F114" s="332"/>
      <c r="G114" s="334">
        <f t="shared" si="0"/>
        <v>0</v>
      </c>
      <c r="H114" s="336">
        <v>0</v>
      </c>
      <c r="I114" s="334">
        <f t="shared" si="1"/>
        <v>0</v>
      </c>
      <c r="J114" s="334">
        <f t="shared" si="2"/>
        <v>0</v>
      </c>
      <c r="K114" s="338"/>
      <c r="L114" s="558"/>
      <c r="M114" s="343"/>
    </row>
    <row r="115" spans="1:13">
      <c r="A115" s="429">
        <v>632002015</v>
      </c>
      <c r="B115" s="382" t="s">
        <v>828</v>
      </c>
      <c r="C115" s="382">
        <v>42355</v>
      </c>
      <c r="D115" s="380"/>
      <c r="E115" s="338" t="s">
        <v>867</v>
      </c>
      <c r="F115" s="332"/>
      <c r="G115" s="334">
        <f t="shared" si="0"/>
        <v>0</v>
      </c>
      <c r="H115" s="336">
        <v>0</v>
      </c>
      <c r="I115" s="334">
        <f t="shared" si="1"/>
        <v>0</v>
      </c>
      <c r="J115" s="334">
        <f t="shared" si="2"/>
        <v>0</v>
      </c>
      <c r="K115" s="338"/>
      <c r="L115" s="558"/>
      <c r="M115" s="343"/>
    </row>
    <row r="116" spans="1:13">
      <c r="A116" s="429">
        <v>632002015</v>
      </c>
      <c r="B116" s="382" t="s">
        <v>828</v>
      </c>
      <c r="C116" s="382">
        <v>42355</v>
      </c>
      <c r="D116" s="380"/>
      <c r="E116" s="338" t="s">
        <v>869</v>
      </c>
      <c r="F116" s="332"/>
      <c r="G116" s="334">
        <f t="shared" si="0"/>
        <v>0</v>
      </c>
      <c r="H116" s="336">
        <v>0</v>
      </c>
      <c r="I116" s="334">
        <f t="shared" si="1"/>
        <v>0</v>
      </c>
      <c r="J116" s="334">
        <f t="shared" si="2"/>
        <v>0</v>
      </c>
      <c r="K116" s="338"/>
      <c r="L116" s="558"/>
      <c r="M116" s="343"/>
    </row>
    <row r="117" spans="1:13">
      <c r="A117" s="429">
        <v>632002015</v>
      </c>
      <c r="B117" s="382" t="s">
        <v>828</v>
      </c>
      <c r="C117" s="382">
        <v>42355</v>
      </c>
      <c r="D117" s="380"/>
      <c r="E117" s="338" t="s">
        <v>870</v>
      </c>
      <c r="F117" s="332"/>
      <c r="G117" s="334">
        <f t="shared" si="0"/>
        <v>0</v>
      </c>
      <c r="H117" s="336">
        <v>0</v>
      </c>
      <c r="I117" s="334">
        <f t="shared" si="1"/>
        <v>0</v>
      </c>
      <c r="J117" s="334">
        <f t="shared" si="2"/>
        <v>0</v>
      </c>
      <c r="K117" s="338"/>
      <c r="L117" s="558"/>
      <c r="M117" s="343"/>
    </row>
    <row r="118" spans="1:13">
      <c r="A118" s="429">
        <v>632002015</v>
      </c>
      <c r="B118" s="382" t="s">
        <v>828</v>
      </c>
      <c r="C118" s="382">
        <v>42355</v>
      </c>
      <c r="D118" s="380"/>
      <c r="E118" s="338" t="s">
        <v>871</v>
      </c>
      <c r="F118" s="332"/>
      <c r="G118" s="334">
        <f t="shared" si="0"/>
        <v>0</v>
      </c>
      <c r="H118" s="336">
        <v>0</v>
      </c>
      <c r="I118" s="334">
        <f t="shared" si="1"/>
        <v>0</v>
      </c>
      <c r="J118" s="334">
        <f t="shared" si="2"/>
        <v>0</v>
      </c>
      <c r="K118" s="338"/>
      <c r="L118" s="558"/>
      <c r="M118" s="343"/>
    </row>
    <row r="119" spans="1:13">
      <c r="A119" s="429">
        <v>632002015</v>
      </c>
      <c r="B119" s="382" t="s">
        <v>828</v>
      </c>
      <c r="C119" s="382">
        <v>42355</v>
      </c>
      <c r="D119" s="380"/>
      <c r="E119" s="338" t="s">
        <v>872</v>
      </c>
      <c r="F119" s="332"/>
      <c r="G119" s="334">
        <f t="shared" si="0"/>
        <v>0</v>
      </c>
      <c r="H119" s="336">
        <v>0</v>
      </c>
      <c r="I119" s="334">
        <f t="shared" si="1"/>
        <v>0</v>
      </c>
      <c r="J119" s="334">
        <f t="shared" si="2"/>
        <v>0</v>
      </c>
      <c r="K119" s="338"/>
      <c r="L119" s="558"/>
      <c r="M119" s="343"/>
    </row>
    <row r="120" spans="1:13">
      <c r="A120" s="429">
        <v>632002015</v>
      </c>
      <c r="B120" s="382" t="s">
        <v>828</v>
      </c>
      <c r="C120" s="382">
        <v>42355</v>
      </c>
      <c r="D120" s="380"/>
      <c r="E120" s="338" t="s">
        <v>873</v>
      </c>
      <c r="F120" s="332"/>
      <c r="G120" s="334">
        <f t="shared" si="0"/>
        <v>0</v>
      </c>
      <c r="H120" s="336">
        <v>0</v>
      </c>
      <c r="I120" s="334">
        <f t="shared" si="1"/>
        <v>0</v>
      </c>
      <c r="J120" s="334">
        <f t="shared" si="2"/>
        <v>0</v>
      </c>
      <c r="K120" s="338"/>
      <c r="L120" s="558"/>
      <c r="M120" s="343"/>
    </row>
    <row r="121" spans="1:13">
      <c r="A121" s="429">
        <v>632002015</v>
      </c>
      <c r="B121" s="382" t="s">
        <v>828</v>
      </c>
      <c r="C121" s="382">
        <v>42355</v>
      </c>
      <c r="D121" s="380"/>
      <c r="E121" s="338" t="s">
        <v>875</v>
      </c>
      <c r="F121" s="332"/>
      <c r="G121" s="334">
        <f t="shared" si="0"/>
        <v>0</v>
      </c>
      <c r="H121" s="336">
        <v>0</v>
      </c>
      <c r="I121" s="334">
        <f t="shared" si="1"/>
        <v>0</v>
      </c>
      <c r="J121" s="334">
        <f t="shared" si="2"/>
        <v>0</v>
      </c>
      <c r="K121" s="338"/>
      <c r="L121" s="558"/>
      <c r="M121" s="343"/>
    </row>
    <row r="122" spans="1:13">
      <c r="A122" s="429">
        <v>632002015</v>
      </c>
      <c r="B122" s="382" t="s">
        <v>828</v>
      </c>
      <c r="C122" s="382">
        <v>42355</v>
      </c>
      <c r="D122" s="380"/>
      <c r="E122" s="338" t="s">
        <v>876</v>
      </c>
      <c r="F122" s="332"/>
      <c r="G122" s="334">
        <f t="shared" si="0"/>
        <v>0</v>
      </c>
      <c r="H122" s="336">
        <v>0</v>
      </c>
      <c r="I122" s="334">
        <f t="shared" si="1"/>
        <v>0</v>
      </c>
      <c r="J122" s="334">
        <f t="shared" si="2"/>
        <v>0</v>
      </c>
      <c r="K122" s="338"/>
      <c r="L122" s="558"/>
      <c r="M122" s="343"/>
    </row>
    <row r="123" spans="1:13">
      <c r="A123" s="434">
        <v>632002015</v>
      </c>
      <c r="B123" s="388" t="s">
        <v>828</v>
      </c>
      <c r="C123" s="388">
        <v>42355</v>
      </c>
      <c r="D123" s="387"/>
      <c r="E123" s="361" t="s">
        <v>877</v>
      </c>
      <c r="F123" s="439"/>
      <c r="G123" s="357">
        <f t="shared" si="0"/>
        <v>0</v>
      </c>
      <c r="H123" s="359">
        <v>0</v>
      </c>
      <c r="I123" s="357">
        <f t="shared" si="1"/>
        <v>0</v>
      </c>
      <c r="J123" s="357">
        <f t="shared" si="2"/>
        <v>0</v>
      </c>
      <c r="K123" s="361"/>
      <c r="L123" s="568"/>
      <c r="M123" s="365"/>
    </row>
    <row r="124" spans="1:13">
      <c r="A124" s="426">
        <v>175272002</v>
      </c>
      <c r="B124" s="375" t="s">
        <v>22</v>
      </c>
      <c r="C124" s="376">
        <v>37546</v>
      </c>
      <c r="D124" s="375">
        <v>291692016</v>
      </c>
      <c r="E124" s="319" t="s">
        <v>878</v>
      </c>
      <c r="F124" s="378">
        <v>146517.06</v>
      </c>
      <c r="G124" s="315">
        <f t="shared" si="0"/>
        <v>13319.732727272727</v>
      </c>
      <c r="H124" s="317">
        <v>0.1</v>
      </c>
      <c r="I124" s="315">
        <f t="shared" si="1"/>
        <v>13319.732727272727</v>
      </c>
      <c r="J124" s="315">
        <f t="shared" si="2"/>
        <v>8524.6289454545458</v>
      </c>
      <c r="K124" s="319"/>
      <c r="L124" s="579"/>
      <c r="M124" s="323"/>
    </row>
    <row r="125" spans="1:13">
      <c r="A125" s="429">
        <v>175272002</v>
      </c>
      <c r="B125" s="380" t="s">
        <v>22</v>
      </c>
      <c r="C125" s="382">
        <v>37546</v>
      </c>
      <c r="D125" s="380">
        <v>291652016</v>
      </c>
      <c r="E125" s="338" t="s">
        <v>879</v>
      </c>
      <c r="F125" s="332">
        <v>118899.42000000001</v>
      </c>
      <c r="G125" s="334">
        <f t="shared" si="0"/>
        <v>10809.038181818183</v>
      </c>
      <c r="H125" s="336">
        <v>0.1</v>
      </c>
      <c r="I125" s="334">
        <f t="shared" si="1"/>
        <v>10809.038181818192</v>
      </c>
      <c r="J125" s="334">
        <f t="shared" si="2"/>
        <v>6917.7844363636432</v>
      </c>
      <c r="K125" s="338" t="s">
        <v>881</v>
      </c>
      <c r="L125" s="574" t="s">
        <v>81</v>
      </c>
      <c r="M125" s="343"/>
    </row>
    <row r="126" spans="1:13">
      <c r="A126" s="429">
        <v>175272002</v>
      </c>
      <c r="B126" s="380" t="s">
        <v>22</v>
      </c>
      <c r="C126" s="382">
        <v>37546</v>
      </c>
      <c r="D126" s="380">
        <v>291662016</v>
      </c>
      <c r="E126" s="338" t="s">
        <v>882</v>
      </c>
      <c r="F126" s="332">
        <f>62623.4+80057.86</f>
        <v>142681.26</v>
      </c>
      <c r="G126" s="334">
        <f t="shared" si="0"/>
        <v>12971.023636363636</v>
      </c>
      <c r="H126" s="336">
        <v>0.1</v>
      </c>
      <c r="I126" s="334">
        <f t="shared" si="1"/>
        <v>12971.02363636365</v>
      </c>
      <c r="J126" s="334">
        <f t="shared" si="2"/>
        <v>8301.4551272727367</v>
      </c>
      <c r="K126" s="338"/>
      <c r="L126" s="558"/>
      <c r="M126" s="343"/>
    </row>
    <row r="127" spans="1:13">
      <c r="A127" s="434">
        <v>175272002</v>
      </c>
      <c r="B127" s="387" t="s">
        <v>22</v>
      </c>
      <c r="C127" s="388">
        <v>37546</v>
      </c>
      <c r="D127" s="387">
        <v>291682016</v>
      </c>
      <c r="E127" s="361" t="s">
        <v>883</v>
      </c>
      <c r="F127" s="439">
        <f>4112.86+15375.32</f>
        <v>19488.18</v>
      </c>
      <c r="G127" s="357">
        <f t="shared" si="0"/>
        <v>1771.6527272727271</v>
      </c>
      <c r="H127" s="359">
        <v>0.1</v>
      </c>
      <c r="I127" s="357">
        <f t="shared" si="1"/>
        <v>1771.652727272729</v>
      </c>
      <c r="J127" s="357">
        <f t="shared" si="2"/>
        <v>1133.8577454545466</v>
      </c>
      <c r="K127" s="361"/>
      <c r="L127" s="568"/>
      <c r="M127" s="365"/>
    </row>
    <row r="128" spans="1:13">
      <c r="A128" s="371">
        <v>66482007</v>
      </c>
      <c r="B128" s="274" t="s">
        <v>22</v>
      </c>
      <c r="C128" s="275">
        <v>39163</v>
      </c>
      <c r="D128" s="274">
        <v>308622016</v>
      </c>
      <c r="E128" s="293" t="s">
        <v>884</v>
      </c>
      <c r="F128" s="373">
        <v>76852.52</v>
      </c>
      <c r="G128" s="283">
        <f t="shared" si="0"/>
        <v>6986.5927272727276</v>
      </c>
      <c r="H128" s="286">
        <v>0.1</v>
      </c>
      <c r="I128" s="283">
        <f t="shared" si="1"/>
        <v>6986.5927272727276</v>
      </c>
      <c r="J128" s="283">
        <f t="shared" si="2"/>
        <v>4597.178014545455</v>
      </c>
      <c r="K128" s="293"/>
      <c r="L128" s="581"/>
      <c r="M128" s="297"/>
    </row>
    <row r="129" spans="1:13">
      <c r="A129" s="429">
        <v>204382002</v>
      </c>
      <c r="B129" s="380" t="s">
        <v>22</v>
      </c>
      <c r="C129" s="382">
        <v>37589</v>
      </c>
      <c r="D129" s="380">
        <v>308592016</v>
      </c>
      <c r="E129" s="338" t="s">
        <v>886</v>
      </c>
      <c r="F129" s="332">
        <v>62334.3</v>
      </c>
      <c r="G129" s="334">
        <f t="shared" si="0"/>
        <v>5936.6</v>
      </c>
      <c r="H129" s="336">
        <v>0.05</v>
      </c>
      <c r="I129" s="334">
        <f t="shared" si="1"/>
        <v>2968.3000000000029</v>
      </c>
      <c r="J129" s="334">
        <f t="shared" si="2"/>
        <v>1899.7120000000018</v>
      </c>
      <c r="K129" s="338"/>
      <c r="L129" s="558"/>
      <c r="M129" s="343"/>
    </row>
    <row r="130" spans="1:13">
      <c r="A130" s="434">
        <v>204382002</v>
      </c>
      <c r="B130" s="387" t="s">
        <v>22</v>
      </c>
      <c r="C130" s="388">
        <v>37589</v>
      </c>
      <c r="D130" s="387">
        <v>308552016</v>
      </c>
      <c r="E130" s="361" t="s">
        <v>888</v>
      </c>
      <c r="F130" s="439">
        <v>21337.94</v>
      </c>
      <c r="G130" s="357">
        <f t="shared" si="0"/>
        <v>2032.1847619047619</v>
      </c>
      <c r="H130" s="359">
        <v>0.05</v>
      </c>
      <c r="I130" s="357">
        <f t="shared" si="1"/>
        <v>1016.0923809523811</v>
      </c>
      <c r="J130" s="357">
        <f t="shared" si="2"/>
        <v>650.29912380952385</v>
      </c>
      <c r="K130" s="361"/>
      <c r="L130" s="568"/>
      <c r="M130" s="365"/>
    </row>
    <row r="131" spans="1:13">
      <c r="A131" s="426">
        <v>124392015</v>
      </c>
      <c r="B131" s="375" t="s">
        <v>432</v>
      </c>
      <c r="C131" s="376">
        <v>42086</v>
      </c>
      <c r="D131" s="375"/>
      <c r="E131" s="319" t="s">
        <v>889</v>
      </c>
      <c r="F131" s="378"/>
      <c r="G131" s="315">
        <f t="shared" si="0"/>
        <v>0</v>
      </c>
      <c r="H131" s="317">
        <v>0.05</v>
      </c>
      <c r="I131" s="315">
        <f t="shared" si="1"/>
        <v>0</v>
      </c>
      <c r="J131" s="315">
        <f t="shared" si="2"/>
        <v>0</v>
      </c>
      <c r="K131" s="319"/>
      <c r="L131" s="579"/>
      <c r="M131" s="323"/>
    </row>
    <row r="132" spans="1:13">
      <c r="A132" s="429">
        <v>124392015</v>
      </c>
      <c r="B132" s="382" t="s">
        <v>432</v>
      </c>
      <c r="C132" s="382">
        <v>42086</v>
      </c>
      <c r="D132" s="380"/>
      <c r="E132" s="338" t="s">
        <v>890</v>
      </c>
      <c r="F132" s="332"/>
      <c r="G132" s="334">
        <f t="shared" si="0"/>
        <v>0</v>
      </c>
      <c r="H132" s="336">
        <v>0.05</v>
      </c>
      <c r="I132" s="334">
        <f t="shared" si="1"/>
        <v>0</v>
      </c>
      <c r="J132" s="334">
        <f t="shared" si="2"/>
        <v>0</v>
      </c>
      <c r="K132" s="338"/>
      <c r="L132" s="558"/>
      <c r="M132" s="343"/>
    </row>
    <row r="133" spans="1:13">
      <c r="A133" s="429">
        <v>124392015</v>
      </c>
      <c r="B133" s="382" t="s">
        <v>432</v>
      </c>
      <c r="C133" s="382">
        <v>42086</v>
      </c>
      <c r="D133" s="380"/>
      <c r="E133" s="338" t="s">
        <v>891</v>
      </c>
      <c r="F133" s="332"/>
      <c r="G133" s="334">
        <f t="shared" si="0"/>
        <v>0</v>
      </c>
      <c r="H133" s="336">
        <v>0.05</v>
      </c>
      <c r="I133" s="334">
        <f t="shared" si="1"/>
        <v>0</v>
      </c>
      <c r="J133" s="334">
        <f t="shared" si="2"/>
        <v>0</v>
      </c>
      <c r="K133" s="338"/>
      <c r="L133" s="558"/>
      <c r="M133" s="343"/>
    </row>
    <row r="134" spans="1:13">
      <c r="A134" s="429">
        <v>124392015</v>
      </c>
      <c r="B134" s="382" t="s">
        <v>432</v>
      </c>
      <c r="C134" s="382">
        <v>42086</v>
      </c>
      <c r="D134" s="380"/>
      <c r="E134" s="338" t="s">
        <v>892</v>
      </c>
      <c r="F134" s="332"/>
      <c r="G134" s="334">
        <f t="shared" si="0"/>
        <v>0</v>
      </c>
      <c r="H134" s="336">
        <v>0.05</v>
      </c>
      <c r="I134" s="334">
        <f t="shared" si="1"/>
        <v>0</v>
      </c>
      <c r="J134" s="334">
        <f t="shared" si="2"/>
        <v>0</v>
      </c>
      <c r="K134" s="338"/>
      <c r="L134" s="558"/>
      <c r="M134" s="343"/>
    </row>
    <row r="135" spans="1:13">
      <c r="A135" s="429">
        <v>124392015</v>
      </c>
      <c r="B135" s="382" t="s">
        <v>432</v>
      </c>
      <c r="C135" s="382">
        <v>42086</v>
      </c>
      <c r="D135" s="380"/>
      <c r="E135" s="338" t="s">
        <v>893</v>
      </c>
      <c r="F135" s="332"/>
      <c r="G135" s="334">
        <f t="shared" si="0"/>
        <v>0</v>
      </c>
      <c r="H135" s="336">
        <v>0.05</v>
      </c>
      <c r="I135" s="334">
        <f t="shared" si="1"/>
        <v>0</v>
      </c>
      <c r="J135" s="334">
        <f t="shared" si="2"/>
        <v>0</v>
      </c>
      <c r="K135" s="338"/>
      <c r="L135" s="558"/>
      <c r="M135" s="343"/>
    </row>
    <row r="136" spans="1:13">
      <c r="A136" s="429">
        <v>124392015</v>
      </c>
      <c r="B136" s="382" t="s">
        <v>432</v>
      </c>
      <c r="C136" s="382">
        <v>42086</v>
      </c>
      <c r="D136" s="380"/>
      <c r="E136" s="338" t="s">
        <v>894</v>
      </c>
      <c r="F136" s="332"/>
      <c r="G136" s="334">
        <f t="shared" si="0"/>
        <v>0</v>
      </c>
      <c r="H136" s="336">
        <v>0.05</v>
      </c>
      <c r="I136" s="334">
        <f t="shared" si="1"/>
        <v>0</v>
      </c>
      <c r="J136" s="334">
        <f t="shared" si="2"/>
        <v>0</v>
      </c>
      <c r="K136" s="338"/>
      <c r="L136" s="558"/>
      <c r="M136" s="343"/>
    </row>
    <row r="137" spans="1:13">
      <c r="A137" s="429">
        <v>124392015</v>
      </c>
      <c r="B137" s="382" t="s">
        <v>432</v>
      </c>
      <c r="C137" s="382">
        <v>42086</v>
      </c>
      <c r="D137" s="380"/>
      <c r="E137" s="338" t="s">
        <v>895</v>
      </c>
      <c r="F137" s="332"/>
      <c r="G137" s="334">
        <f t="shared" si="0"/>
        <v>0</v>
      </c>
      <c r="H137" s="336">
        <v>0.05</v>
      </c>
      <c r="I137" s="334">
        <f t="shared" si="1"/>
        <v>0</v>
      </c>
      <c r="J137" s="334">
        <f t="shared" si="2"/>
        <v>0</v>
      </c>
      <c r="K137" s="338"/>
      <c r="L137" s="558"/>
      <c r="M137" s="343"/>
    </row>
    <row r="138" spans="1:13">
      <c r="A138" s="429">
        <v>124392015</v>
      </c>
      <c r="B138" s="382" t="s">
        <v>432</v>
      </c>
      <c r="C138" s="382">
        <v>42086</v>
      </c>
      <c r="D138" s="380"/>
      <c r="E138" s="338" t="s">
        <v>896</v>
      </c>
      <c r="F138" s="332"/>
      <c r="G138" s="334">
        <f t="shared" si="0"/>
        <v>0</v>
      </c>
      <c r="H138" s="336">
        <v>0.05</v>
      </c>
      <c r="I138" s="334">
        <f t="shared" si="1"/>
        <v>0</v>
      </c>
      <c r="J138" s="334">
        <f t="shared" si="2"/>
        <v>0</v>
      </c>
      <c r="K138" s="338"/>
      <c r="L138" s="558"/>
      <c r="M138" s="343"/>
    </row>
    <row r="139" spans="1:13">
      <c r="A139" s="429">
        <v>124392015</v>
      </c>
      <c r="B139" s="382" t="s">
        <v>432</v>
      </c>
      <c r="C139" s="382">
        <v>42086</v>
      </c>
      <c r="D139" s="380"/>
      <c r="E139" s="338" t="s">
        <v>897</v>
      </c>
      <c r="F139" s="332"/>
      <c r="G139" s="334">
        <f t="shared" si="0"/>
        <v>0</v>
      </c>
      <c r="H139" s="336">
        <v>0.05</v>
      </c>
      <c r="I139" s="334">
        <f t="shared" si="1"/>
        <v>0</v>
      </c>
      <c r="J139" s="334">
        <f t="shared" si="2"/>
        <v>0</v>
      </c>
      <c r="K139" s="338"/>
      <c r="L139" s="558"/>
      <c r="M139" s="343"/>
    </row>
    <row r="140" spans="1:13">
      <c r="A140" s="429">
        <v>124392015</v>
      </c>
      <c r="B140" s="382" t="s">
        <v>432</v>
      </c>
      <c r="C140" s="382">
        <v>42086</v>
      </c>
      <c r="D140" s="380"/>
      <c r="E140" s="338" t="s">
        <v>898</v>
      </c>
      <c r="F140" s="332"/>
      <c r="G140" s="334">
        <f t="shared" si="0"/>
        <v>0</v>
      </c>
      <c r="H140" s="336">
        <v>0.05</v>
      </c>
      <c r="I140" s="334">
        <f t="shared" si="1"/>
        <v>0</v>
      </c>
      <c r="J140" s="334">
        <f t="shared" si="2"/>
        <v>0</v>
      </c>
      <c r="K140" s="338"/>
      <c r="L140" s="558"/>
      <c r="M140" s="343"/>
    </row>
    <row r="141" spans="1:13">
      <c r="A141" s="429">
        <v>124392015</v>
      </c>
      <c r="B141" s="382" t="s">
        <v>432</v>
      </c>
      <c r="C141" s="382">
        <v>42086</v>
      </c>
      <c r="D141" s="380"/>
      <c r="E141" s="338" t="s">
        <v>899</v>
      </c>
      <c r="F141" s="332"/>
      <c r="G141" s="334">
        <f t="shared" si="0"/>
        <v>0</v>
      </c>
      <c r="H141" s="336">
        <v>0.05</v>
      </c>
      <c r="I141" s="334">
        <f t="shared" si="1"/>
        <v>0</v>
      </c>
      <c r="J141" s="334">
        <f t="shared" si="2"/>
        <v>0</v>
      </c>
      <c r="K141" s="338"/>
      <c r="L141" s="558"/>
      <c r="M141" s="343"/>
    </row>
    <row r="142" spans="1:13">
      <c r="A142" s="429">
        <v>124392015</v>
      </c>
      <c r="B142" s="382" t="s">
        <v>432</v>
      </c>
      <c r="C142" s="382">
        <v>42086</v>
      </c>
      <c r="D142" s="380">
        <v>312382016</v>
      </c>
      <c r="E142" s="338" t="s">
        <v>900</v>
      </c>
      <c r="F142" s="332">
        <v>191429.63</v>
      </c>
      <c r="G142" s="334">
        <f t="shared" si="0"/>
        <v>9115.6966666666667</v>
      </c>
      <c r="H142" s="336">
        <v>0.05</v>
      </c>
      <c r="I142" s="334">
        <f t="shared" si="1"/>
        <v>9115.6966666666849</v>
      </c>
      <c r="J142" s="334">
        <f t="shared" si="2"/>
        <v>9115.6966666666849</v>
      </c>
      <c r="K142" s="338" t="s">
        <v>254</v>
      </c>
      <c r="L142" s="574" t="s">
        <v>81</v>
      </c>
      <c r="M142" s="343"/>
    </row>
    <row r="143" spans="1:13">
      <c r="A143" s="429">
        <v>124392015</v>
      </c>
      <c r="B143" s="382" t="s">
        <v>432</v>
      </c>
      <c r="C143" s="382">
        <v>42086</v>
      </c>
      <c r="D143" s="380"/>
      <c r="E143" s="338" t="s">
        <v>901</v>
      </c>
      <c r="F143" s="332"/>
      <c r="G143" s="334">
        <f t="shared" si="0"/>
        <v>0</v>
      </c>
      <c r="H143" s="336">
        <v>0.05</v>
      </c>
      <c r="I143" s="334">
        <f t="shared" si="1"/>
        <v>0</v>
      </c>
      <c r="J143" s="334">
        <f t="shared" si="2"/>
        <v>0</v>
      </c>
      <c r="K143" s="338"/>
      <c r="L143" s="558"/>
      <c r="M143" s="343"/>
    </row>
    <row r="144" spans="1:13">
      <c r="A144" s="429">
        <v>124392015</v>
      </c>
      <c r="B144" s="382" t="s">
        <v>432</v>
      </c>
      <c r="C144" s="382">
        <v>42086</v>
      </c>
      <c r="D144" s="380"/>
      <c r="E144" s="338" t="s">
        <v>902</v>
      </c>
      <c r="F144" s="332"/>
      <c r="G144" s="334">
        <f t="shared" si="0"/>
        <v>0</v>
      </c>
      <c r="H144" s="336">
        <v>0.05</v>
      </c>
      <c r="I144" s="334">
        <f t="shared" si="1"/>
        <v>0</v>
      </c>
      <c r="J144" s="334">
        <f t="shared" si="2"/>
        <v>0</v>
      </c>
      <c r="K144" s="338"/>
      <c r="L144" s="558"/>
      <c r="M144" s="343"/>
    </row>
    <row r="145" spans="1:13">
      <c r="A145" s="434">
        <v>124392015</v>
      </c>
      <c r="B145" s="388" t="s">
        <v>432</v>
      </c>
      <c r="C145" s="388">
        <v>42086</v>
      </c>
      <c r="D145" s="387"/>
      <c r="E145" s="361" t="s">
        <v>903</v>
      </c>
      <c r="F145" s="439"/>
      <c r="G145" s="357">
        <f t="shared" si="0"/>
        <v>0</v>
      </c>
      <c r="H145" s="359">
        <v>0.05</v>
      </c>
      <c r="I145" s="357">
        <f t="shared" si="1"/>
        <v>0</v>
      </c>
      <c r="J145" s="357">
        <f t="shared" si="2"/>
        <v>0</v>
      </c>
      <c r="K145" s="361"/>
      <c r="L145" s="568"/>
      <c r="M145" s="365"/>
    </row>
    <row r="146" spans="1:13">
      <c r="A146" s="371">
        <v>140572002</v>
      </c>
      <c r="B146" s="274" t="s">
        <v>22</v>
      </c>
      <c r="C146" s="275">
        <v>37489</v>
      </c>
      <c r="D146" s="274">
        <v>312182016</v>
      </c>
      <c r="E146" s="293" t="s">
        <v>904</v>
      </c>
      <c r="F146" s="373"/>
      <c r="G146" s="283">
        <f t="shared" si="0"/>
        <v>0</v>
      </c>
      <c r="H146" s="286"/>
      <c r="I146" s="283">
        <f t="shared" si="1"/>
        <v>0</v>
      </c>
      <c r="J146" s="283">
        <f t="shared" si="2"/>
        <v>0</v>
      </c>
      <c r="K146" s="293"/>
      <c r="L146" s="581"/>
      <c r="M146" s="297"/>
    </row>
    <row r="147" spans="1:13">
      <c r="A147" s="601">
        <v>242902013</v>
      </c>
      <c r="B147" s="603" t="s">
        <v>432</v>
      </c>
      <c r="C147" s="604">
        <v>41423</v>
      </c>
      <c r="D147" s="603"/>
      <c r="E147" s="605" t="s">
        <v>905</v>
      </c>
      <c r="F147" s="606"/>
      <c r="G147" s="607">
        <f t="shared" si="0"/>
        <v>0</v>
      </c>
      <c r="H147" s="608">
        <v>0.05</v>
      </c>
      <c r="I147" s="607">
        <f t="shared" si="1"/>
        <v>0</v>
      </c>
      <c r="J147" s="607">
        <f t="shared" si="2"/>
        <v>0</v>
      </c>
      <c r="K147" s="605"/>
      <c r="L147" s="579"/>
      <c r="M147" s="323"/>
    </row>
    <row r="148" spans="1:13">
      <c r="A148" s="610">
        <v>242902013</v>
      </c>
      <c r="B148" s="612" t="s">
        <v>432</v>
      </c>
      <c r="C148" s="612">
        <v>41423</v>
      </c>
      <c r="D148" s="613"/>
      <c r="E148" s="615" t="s">
        <v>906</v>
      </c>
      <c r="F148" s="617"/>
      <c r="G148" s="619">
        <f t="shared" si="0"/>
        <v>0</v>
      </c>
      <c r="H148" s="620">
        <v>0.05</v>
      </c>
      <c r="I148" s="619">
        <f t="shared" si="1"/>
        <v>0</v>
      </c>
      <c r="J148" s="619">
        <f t="shared" si="2"/>
        <v>0</v>
      </c>
      <c r="K148" s="615"/>
      <c r="L148" s="558"/>
      <c r="M148" s="343"/>
    </row>
    <row r="149" spans="1:13">
      <c r="A149" s="610">
        <v>242902013</v>
      </c>
      <c r="B149" s="612" t="s">
        <v>432</v>
      </c>
      <c r="C149" s="612">
        <v>41423</v>
      </c>
      <c r="D149" s="613"/>
      <c r="E149" s="615" t="s">
        <v>907</v>
      </c>
      <c r="F149" s="617"/>
      <c r="G149" s="619">
        <f t="shared" si="0"/>
        <v>0</v>
      </c>
      <c r="H149" s="620">
        <v>0.05</v>
      </c>
      <c r="I149" s="619">
        <f t="shared" si="1"/>
        <v>0</v>
      </c>
      <c r="J149" s="619">
        <f t="shared" si="2"/>
        <v>0</v>
      </c>
      <c r="K149" s="615"/>
      <c r="L149" s="558"/>
      <c r="M149" s="343"/>
    </row>
    <row r="150" spans="1:13">
      <c r="A150" s="610">
        <v>242902013</v>
      </c>
      <c r="B150" s="612" t="s">
        <v>432</v>
      </c>
      <c r="C150" s="612">
        <v>41423</v>
      </c>
      <c r="D150" s="613"/>
      <c r="E150" s="615" t="s">
        <v>908</v>
      </c>
      <c r="F150" s="617"/>
      <c r="G150" s="619">
        <f t="shared" si="0"/>
        <v>0</v>
      </c>
      <c r="H150" s="620">
        <v>0.05</v>
      </c>
      <c r="I150" s="619">
        <f t="shared" si="1"/>
        <v>0</v>
      </c>
      <c r="J150" s="619">
        <f t="shared" si="2"/>
        <v>0</v>
      </c>
      <c r="K150" s="615"/>
      <c r="L150" s="558"/>
      <c r="M150" s="343"/>
    </row>
    <row r="151" spans="1:13">
      <c r="A151" s="610">
        <v>242902013</v>
      </c>
      <c r="B151" s="612" t="s">
        <v>432</v>
      </c>
      <c r="C151" s="612">
        <v>41423</v>
      </c>
      <c r="D151" s="613"/>
      <c r="E151" s="615" t="s">
        <v>909</v>
      </c>
      <c r="F151" s="617"/>
      <c r="G151" s="619">
        <f t="shared" si="0"/>
        <v>0</v>
      </c>
      <c r="H151" s="620">
        <v>0.05</v>
      </c>
      <c r="I151" s="619">
        <f t="shared" si="1"/>
        <v>0</v>
      </c>
      <c r="J151" s="619">
        <f t="shared" si="2"/>
        <v>0</v>
      </c>
      <c r="K151" s="615"/>
      <c r="L151" s="558"/>
      <c r="M151" s="343"/>
    </row>
    <row r="152" spans="1:13">
      <c r="A152" s="610">
        <v>242902013</v>
      </c>
      <c r="B152" s="612" t="s">
        <v>432</v>
      </c>
      <c r="C152" s="612">
        <v>41423</v>
      </c>
      <c r="D152" s="613"/>
      <c r="E152" s="615" t="s">
        <v>910</v>
      </c>
      <c r="F152" s="621"/>
      <c r="G152" s="619">
        <f t="shared" si="0"/>
        <v>0</v>
      </c>
      <c r="H152" s="620">
        <v>0.05</v>
      </c>
      <c r="I152" s="619">
        <f t="shared" si="1"/>
        <v>0</v>
      </c>
      <c r="J152" s="619">
        <f t="shared" si="2"/>
        <v>0</v>
      </c>
      <c r="K152" s="615"/>
      <c r="L152" s="558"/>
      <c r="M152" s="343"/>
    </row>
    <row r="153" spans="1:13">
      <c r="A153" s="610">
        <v>242902013</v>
      </c>
      <c r="B153" s="612" t="s">
        <v>432</v>
      </c>
      <c r="C153" s="612">
        <v>41423</v>
      </c>
      <c r="D153" s="613"/>
      <c r="E153" s="615" t="s">
        <v>911</v>
      </c>
      <c r="F153" s="621"/>
      <c r="G153" s="619">
        <f t="shared" si="0"/>
        <v>0</v>
      </c>
      <c r="H153" s="620">
        <v>0.05</v>
      </c>
      <c r="I153" s="619">
        <f t="shared" si="1"/>
        <v>0</v>
      </c>
      <c r="J153" s="619">
        <f t="shared" si="2"/>
        <v>0</v>
      </c>
      <c r="K153" s="615"/>
      <c r="L153" s="558"/>
      <c r="M153" s="343"/>
    </row>
    <row r="154" spans="1:13">
      <c r="A154" s="610">
        <v>242902013</v>
      </c>
      <c r="B154" s="612" t="s">
        <v>432</v>
      </c>
      <c r="C154" s="612">
        <v>41423</v>
      </c>
      <c r="D154" s="613"/>
      <c r="E154" s="615" t="s">
        <v>912</v>
      </c>
      <c r="F154" s="621"/>
      <c r="G154" s="619">
        <f t="shared" si="0"/>
        <v>0</v>
      </c>
      <c r="H154" s="620">
        <v>0.05</v>
      </c>
      <c r="I154" s="619">
        <f t="shared" si="1"/>
        <v>0</v>
      </c>
      <c r="J154" s="619">
        <f t="shared" si="2"/>
        <v>0</v>
      </c>
      <c r="K154" s="615"/>
      <c r="L154" s="558"/>
      <c r="M154" s="343"/>
    </row>
    <row r="155" spans="1:13">
      <c r="A155" s="610">
        <v>242902013</v>
      </c>
      <c r="B155" s="612" t="s">
        <v>432</v>
      </c>
      <c r="C155" s="612">
        <v>41423</v>
      </c>
      <c r="D155" s="613"/>
      <c r="E155" s="615" t="s">
        <v>913</v>
      </c>
      <c r="F155" s="621"/>
      <c r="G155" s="619">
        <f t="shared" si="0"/>
        <v>0</v>
      </c>
      <c r="H155" s="620">
        <v>0.05</v>
      </c>
      <c r="I155" s="619">
        <f t="shared" si="1"/>
        <v>0</v>
      </c>
      <c r="J155" s="619">
        <f t="shared" si="2"/>
        <v>0</v>
      </c>
      <c r="K155" s="615"/>
      <c r="L155" s="558"/>
      <c r="M155" s="343"/>
    </row>
    <row r="156" spans="1:13">
      <c r="A156" s="610">
        <v>242902013</v>
      </c>
      <c r="B156" s="612" t="s">
        <v>432</v>
      </c>
      <c r="C156" s="612">
        <v>41423</v>
      </c>
      <c r="D156" s="613">
        <v>313512016</v>
      </c>
      <c r="E156" s="615" t="s">
        <v>914</v>
      </c>
      <c r="F156" s="617">
        <v>168183.46</v>
      </c>
      <c r="G156" s="619">
        <f t="shared" si="0"/>
        <v>8008.7361904761901</v>
      </c>
      <c r="H156" s="620">
        <v>0.05</v>
      </c>
      <c r="I156" s="619">
        <f t="shared" si="1"/>
        <v>8008.7361904761929</v>
      </c>
      <c r="J156" s="619">
        <f t="shared" si="2"/>
        <v>8008.7361904761929</v>
      </c>
      <c r="K156" s="615" t="s">
        <v>79</v>
      </c>
      <c r="L156" s="574" t="s">
        <v>81</v>
      </c>
      <c r="M156" s="343"/>
    </row>
    <row r="157" spans="1:13">
      <c r="A157" s="610">
        <v>242902013</v>
      </c>
      <c r="B157" s="612" t="s">
        <v>432</v>
      </c>
      <c r="C157" s="612">
        <v>41423</v>
      </c>
      <c r="D157" s="613"/>
      <c r="E157" s="615" t="s">
        <v>915</v>
      </c>
      <c r="F157" s="621"/>
      <c r="G157" s="619">
        <f t="shared" si="0"/>
        <v>0</v>
      </c>
      <c r="H157" s="620">
        <v>0.05</v>
      </c>
      <c r="I157" s="619">
        <f t="shared" si="1"/>
        <v>0</v>
      </c>
      <c r="J157" s="619">
        <f t="shared" si="2"/>
        <v>0</v>
      </c>
      <c r="K157" s="615"/>
      <c r="L157" s="558"/>
      <c r="M157" s="343"/>
    </row>
    <row r="158" spans="1:13">
      <c r="A158" s="610">
        <v>242902013</v>
      </c>
      <c r="B158" s="612" t="s">
        <v>432</v>
      </c>
      <c r="C158" s="612">
        <v>41423</v>
      </c>
      <c r="D158" s="613"/>
      <c r="E158" s="615" t="s">
        <v>917</v>
      </c>
      <c r="F158" s="621"/>
      <c r="G158" s="619">
        <f t="shared" si="0"/>
        <v>0</v>
      </c>
      <c r="H158" s="620">
        <v>0.05</v>
      </c>
      <c r="I158" s="619">
        <f t="shared" si="1"/>
        <v>0</v>
      </c>
      <c r="J158" s="619">
        <f t="shared" si="2"/>
        <v>0</v>
      </c>
      <c r="K158" s="615"/>
      <c r="L158" s="558"/>
      <c r="M158" s="343"/>
    </row>
    <row r="159" spans="1:13">
      <c r="A159" s="610">
        <v>242902013</v>
      </c>
      <c r="B159" s="612" t="s">
        <v>432</v>
      </c>
      <c r="C159" s="612">
        <v>41423</v>
      </c>
      <c r="D159" s="613"/>
      <c r="E159" s="615" t="s">
        <v>920</v>
      </c>
      <c r="F159" s="621"/>
      <c r="G159" s="619">
        <f t="shared" si="0"/>
        <v>0</v>
      </c>
      <c r="H159" s="620">
        <v>0.05</v>
      </c>
      <c r="I159" s="619">
        <f t="shared" si="1"/>
        <v>0</v>
      </c>
      <c r="J159" s="619">
        <f t="shared" si="2"/>
        <v>0</v>
      </c>
      <c r="K159" s="615"/>
      <c r="L159" s="558"/>
      <c r="M159" s="343"/>
    </row>
    <row r="160" spans="1:13">
      <c r="A160" s="610">
        <v>242902013</v>
      </c>
      <c r="B160" s="612" t="s">
        <v>432</v>
      </c>
      <c r="C160" s="612">
        <v>41423</v>
      </c>
      <c r="D160" s="613"/>
      <c r="E160" s="615" t="s">
        <v>922</v>
      </c>
      <c r="F160" s="621"/>
      <c r="G160" s="619">
        <f t="shared" si="0"/>
        <v>0</v>
      </c>
      <c r="H160" s="620">
        <v>0.05</v>
      </c>
      <c r="I160" s="619">
        <f t="shared" si="1"/>
        <v>0</v>
      </c>
      <c r="J160" s="619">
        <f t="shared" si="2"/>
        <v>0</v>
      </c>
      <c r="K160" s="615"/>
      <c r="L160" s="558"/>
      <c r="M160" s="343"/>
    </row>
    <row r="161" spans="1:13">
      <c r="A161" s="624">
        <v>242902013</v>
      </c>
      <c r="B161" s="626" t="s">
        <v>432</v>
      </c>
      <c r="C161" s="626">
        <v>41423</v>
      </c>
      <c r="D161" s="627"/>
      <c r="E161" s="628" t="s">
        <v>943</v>
      </c>
      <c r="F161" s="630"/>
      <c r="G161" s="632">
        <f t="shared" si="0"/>
        <v>0</v>
      </c>
      <c r="H161" s="634">
        <v>0.05</v>
      </c>
      <c r="I161" s="632">
        <f t="shared" si="1"/>
        <v>0</v>
      </c>
      <c r="J161" s="632">
        <f t="shared" si="2"/>
        <v>0</v>
      </c>
      <c r="K161" s="628"/>
      <c r="L161" s="568"/>
      <c r="M161" s="365"/>
    </row>
    <row r="162" spans="1:13">
      <c r="A162" s="485">
        <v>246032014</v>
      </c>
      <c r="B162" s="376" t="s">
        <v>432</v>
      </c>
      <c r="C162" s="376">
        <v>41785</v>
      </c>
      <c r="D162" s="375"/>
      <c r="E162" s="319" t="s">
        <v>948</v>
      </c>
      <c r="F162" s="563"/>
      <c r="G162" s="315">
        <f t="shared" si="0"/>
        <v>0</v>
      </c>
      <c r="H162" s="317">
        <v>0.05</v>
      </c>
      <c r="I162" s="315">
        <f t="shared" si="1"/>
        <v>0</v>
      </c>
      <c r="J162" s="315">
        <f t="shared" si="2"/>
        <v>0</v>
      </c>
      <c r="K162" s="319"/>
      <c r="L162" s="579"/>
      <c r="M162" s="323"/>
    </row>
    <row r="163" spans="1:13">
      <c r="A163" s="496">
        <v>246032014</v>
      </c>
      <c r="B163" s="382" t="s">
        <v>432</v>
      </c>
      <c r="C163" s="382">
        <v>41785</v>
      </c>
      <c r="D163" s="380"/>
      <c r="E163" s="338" t="s">
        <v>956</v>
      </c>
      <c r="F163" s="502"/>
      <c r="G163" s="334">
        <f t="shared" si="0"/>
        <v>0</v>
      </c>
      <c r="H163" s="336">
        <v>0.05</v>
      </c>
      <c r="I163" s="334">
        <f t="shared" si="1"/>
        <v>0</v>
      </c>
      <c r="J163" s="334">
        <f t="shared" si="2"/>
        <v>0</v>
      </c>
      <c r="K163" s="338"/>
      <c r="L163" s="558"/>
      <c r="M163" s="343"/>
    </row>
    <row r="164" spans="1:13">
      <c r="A164" s="496">
        <v>246032014</v>
      </c>
      <c r="B164" s="382" t="s">
        <v>432</v>
      </c>
      <c r="C164" s="382">
        <v>41785</v>
      </c>
      <c r="D164" s="380"/>
      <c r="E164" s="338" t="s">
        <v>383</v>
      </c>
      <c r="F164" s="502"/>
      <c r="G164" s="334">
        <f t="shared" si="0"/>
        <v>0</v>
      </c>
      <c r="H164" s="336">
        <v>0.05</v>
      </c>
      <c r="I164" s="334">
        <f t="shared" si="1"/>
        <v>0</v>
      </c>
      <c r="J164" s="334">
        <f t="shared" si="2"/>
        <v>0</v>
      </c>
      <c r="K164" s="338"/>
      <c r="L164" s="558"/>
      <c r="M164" s="343"/>
    </row>
    <row r="165" spans="1:13">
      <c r="A165" s="496">
        <v>246032014</v>
      </c>
      <c r="B165" s="382" t="s">
        <v>432</v>
      </c>
      <c r="C165" s="382">
        <v>41785</v>
      </c>
      <c r="D165" s="380"/>
      <c r="E165" s="338" t="s">
        <v>962</v>
      </c>
      <c r="F165" s="502"/>
      <c r="G165" s="334">
        <f t="shared" si="0"/>
        <v>0</v>
      </c>
      <c r="H165" s="336">
        <v>0.05</v>
      </c>
      <c r="I165" s="334">
        <f t="shared" si="1"/>
        <v>0</v>
      </c>
      <c r="J165" s="334">
        <f t="shared" si="2"/>
        <v>0</v>
      </c>
      <c r="K165" s="338"/>
      <c r="L165" s="558"/>
      <c r="M165" s="343"/>
    </row>
    <row r="166" spans="1:13">
      <c r="A166" s="496">
        <v>246032014</v>
      </c>
      <c r="B166" s="382" t="s">
        <v>432</v>
      </c>
      <c r="C166" s="382">
        <v>41785</v>
      </c>
      <c r="D166" s="380"/>
      <c r="E166" s="338" t="s">
        <v>970</v>
      </c>
      <c r="F166" s="502"/>
      <c r="G166" s="334">
        <f t="shared" si="0"/>
        <v>0</v>
      </c>
      <c r="H166" s="336">
        <v>0.05</v>
      </c>
      <c r="I166" s="334">
        <f t="shared" si="1"/>
        <v>0</v>
      </c>
      <c r="J166" s="334">
        <f t="shared" si="2"/>
        <v>0</v>
      </c>
      <c r="K166" s="338"/>
      <c r="L166" s="558"/>
      <c r="M166" s="343"/>
    </row>
    <row r="167" spans="1:13">
      <c r="A167" s="496">
        <v>246032014</v>
      </c>
      <c r="B167" s="382" t="s">
        <v>432</v>
      </c>
      <c r="C167" s="382">
        <v>41785</v>
      </c>
      <c r="D167" s="380"/>
      <c r="E167" s="338" t="s">
        <v>973</v>
      </c>
      <c r="F167" s="502"/>
      <c r="G167" s="334">
        <f t="shared" si="0"/>
        <v>0</v>
      </c>
      <c r="H167" s="336">
        <v>0.05</v>
      </c>
      <c r="I167" s="334">
        <f t="shared" si="1"/>
        <v>0</v>
      </c>
      <c r="J167" s="334">
        <f t="shared" si="2"/>
        <v>0</v>
      </c>
      <c r="K167" s="338"/>
      <c r="L167" s="558"/>
      <c r="M167" s="343"/>
    </row>
    <row r="168" spans="1:13">
      <c r="A168" s="496">
        <v>246032014</v>
      </c>
      <c r="B168" s="382" t="s">
        <v>432</v>
      </c>
      <c r="C168" s="382">
        <v>41785</v>
      </c>
      <c r="D168" s="380"/>
      <c r="E168" s="338" t="s">
        <v>977</v>
      </c>
      <c r="F168" s="502"/>
      <c r="G168" s="334">
        <f t="shared" si="0"/>
        <v>0</v>
      </c>
      <c r="H168" s="336">
        <v>0.05</v>
      </c>
      <c r="I168" s="334">
        <f t="shared" si="1"/>
        <v>0</v>
      </c>
      <c r="J168" s="334">
        <f t="shared" si="2"/>
        <v>0</v>
      </c>
      <c r="K168" s="338"/>
      <c r="L168" s="558"/>
      <c r="M168" s="343"/>
    </row>
    <row r="169" spans="1:13">
      <c r="A169" s="496">
        <v>246032014</v>
      </c>
      <c r="B169" s="382" t="s">
        <v>432</v>
      </c>
      <c r="C169" s="382">
        <v>41785</v>
      </c>
      <c r="D169" s="380"/>
      <c r="E169" s="338" t="s">
        <v>978</v>
      </c>
      <c r="F169" s="502"/>
      <c r="G169" s="334">
        <f t="shared" si="0"/>
        <v>0</v>
      </c>
      <c r="H169" s="336">
        <v>0.05</v>
      </c>
      <c r="I169" s="334">
        <f t="shared" si="1"/>
        <v>0</v>
      </c>
      <c r="J169" s="334">
        <f t="shared" si="2"/>
        <v>0</v>
      </c>
      <c r="K169" s="338"/>
      <c r="L169" s="558"/>
      <c r="M169" s="343"/>
    </row>
    <row r="170" spans="1:13">
      <c r="A170" s="496">
        <v>246032014</v>
      </c>
      <c r="B170" s="382" t="s">
        <v>432</v>
      </c>
      <c r="C170" s="382">
        <v>41785</v>
      </c>
      <c r="D170" s="380"/>
      <c r="E170" s="338" t="s">
        <v>979</v>
      </c>
      <c r="F170" s="502"/>
      <c r="G170" s="334">
        <f t="shared" si="0"/>
        <v>0</v>
      </c>
      <c r="H170" s="336">
        <v>0.05</v>
      </c>
      <c r="I170" s="334">
        <f t="shared" si="1"/>
        <v>0</v>
      </c>
      <c r="J170" s="334">
        <f t="shared" si="2"/>
        <v>0</v>
      </c>
      <c r="K170" s="338"/>
      <c r="L170" s="558"/>
      <c r="M170" s="343"/>
    </row>
    <row r="171" spans="1:13">
      <c r="A171" s="496">
        <v>246032014</v>
      </c>
      <c r="B171" s="382" t="s">
        <v>432</v>
      </c>
      <c r="C171" s="382">
        <v>41785</v>
      </c>
      <c r="D171" s="380">
        <v>313212016</v>
      </c>
      <c r="E171" s="338" t="s">
        <v>980</v>
      </c>
      <c r="F171" s="637">
        <v>166164.15</v>
      </c>
      <c r="G171" s="334">
        <f t="shared" si="0"/>
        <v>7912.5785714285712</v>
      </c>
      <c r="H171" s="336">
        <v>0.05</v>
      </c>
      <c r="I171" s="334">
        <f t="shared" si="1"/>
        <v>7912.5785714285739</v>
      </c>
      <c r="J171" s="334">
        <f t="shared" si="2"/>
        <v>7912.5785714285739</v>
      </c>
      <c r="K171" s="338" t="s">
        <v>79</v>
      </c>
      <c r="L171" s="574" t="s">
        <v>81</v>
      </c>
      <c r="M171" s="343"/>
    </row>
    <row r="172" spans="1:13">
      <c r="A172" s="496">
        <v>246032014</v>
      </c>
      <c r="B172" s="382" t="s">
        <v>432</v>
      </c>
      <c r="C172" s="382">
        <v>41785</v>
      </c>
      <c r="D172" s="380"/>
      <c r="E172" s="338" t="s">
        <v>981</v>
      </c>
      <c r="F172" s="502"/>
      <c r="G172" s="334">
        <f t="shared" si="0"/>
        <v>0</v>
      </c>
      <c r="H172" s="336">
        <v>0.05</v>
      </c>
      <c r="I172" s="334">
        <f t="shared" si="1"/>
        <v>0</v>
      </c>
      <c r="J172" s="334">
        <f t="shared" si="2"/>
        <v>0</v>
      </c>
      <c r="K172" s="338"/>
      <c r="L172" s="558"/>
      <c r="M172" s="343"/>
    </row>
    <row r="173" spans="1:13">
      <c r="A173" s="496">
        <v>246032014</v>
      </c>
      <c r="B173" s="382" t="s">
        <v>432</v>
      </c>
      <c r="C173" s="382">
        <v>41785</v>
      </c>
      <c r="D173" s="380"/>
      <c r="E173" s="338" t="s">
        <v>472</v>
      </c>
      <c r="F173" s="502"/>
      <c r="G173" s="334">
        <f t="shared" si="0"/>
        <v>0</v>
      </c>
      <c r="H173" s="336">
        <v>0.05</v>
      </c>
      <c r="I173" s="334">
        <f t="shared" si="1"/>
        <v>0</v>
      </c>
      <c r="J173" s="334">
        <f t="shared" si="2"/>
        <v>0</v>
      </c>
      <c r="K173" s="338"/>
      <c r="L173" s="558"/>
      <c r="M173" s="343"/>
    </row>
    <row r="174" spans="1:13">
      <c r="A174" s="496">
        <v>246032014</v>
      </c>
      <c r="B174" s="382" t="s">
        <v>432</v>
      </c>
      <c r="C174" s="382">
        <v>41785</v>
      </c>
      <c r="D174" s="380"/>
      <c r="E174" s="338" t="s">
        <v>982</v>
      </c>
      <c r="F174" s="502"/>
      <c r="G174" s="334">
        <f t="shared" si="0"/>
        <v>0</v>
      </c>
      <c r="H174" s="336">
        <v>0.05</v>
      </c>
      <c r="I174" s="334">
        <f t="shared" si="1"/>
        <v>0</v>
      </c>
      <c r="J174" s="334">
        <f t="shared" si="2"/>
        <v>0</v>
      </c>
      <c r="K174" s="338"/>
      <c r="L174" s="558"/>
      <c r="M174" s="343"/>
    </row>
    <row r="175" spans="1:13">
      <c r="A175" s="496">
        <v>246032014</v>
      </c>
      <c r="B175" s="382" t="s">
        <v>432</v>
      </c>
      <c r="C175" s="382">
        <v>41785</v>
      </c>
      <c r="D175" s="380"/>
      <c r="E175" s="338" t="s">
        <v>983</v>
      </c>
      <c r="F175" s="502"/>
      <c r="G175" s="334">
        <f t="shared" si="0"/>
        <v>0</v>
      </c>
      <c r="H175" s="336">
        <v>0.05</v>
      </c>
      <c r="I175" s="334">
        <f t="shared" si="1"/>
        <v>0</v>
      </c>
      <c r="J175" s="334">
        <f t="shared" si="2"/>
        <v>0</v>
      </c>
      <c r="K175" s="338"/>
      <c r="L175" s="558"/>
      <c r="M175" s="343"/>
    </row>
    <row r="176" spans="1:13">
      <c r="A176" s="562">
        <v>246032014</v>
      </c>
      <c r="B176" s="388" t="s">
        <v>432</v>
      </c>
      <c r="C176" s="388">
        <v>41785</v>
      </c>
      <c r="D176" s="387"/>
      <c r="E176" s="361" t="s">
        <v>984</v>
      </c>
      <c r="F176" s="640"/>
      <c r="G176" s="357">
        <f t="shared" si="0"/>
        <v>0</v>
      </c>
      <c r="H176" s="359">
        <v>0.05</v>
      </c>
      <c r="I176" s="357">
        <f t="shared" si="1"/>
        <v>0</v>
      </c>
      <c r="J176" s="357">
        <f t="shared" si="2"/>
        <v>0</v>
      </c>
      <c r="K176" s="361"/>
      <c r="L176" s="568"/>
      <c r="M176" s="365"/>
    </row>
    <row r="177" spans="1:13">
      <c r="A177" s="485">
        <v>16132003</v>
      </c>
      <c r="B177" s="375" t="s">
        <v>22</v>
      </c>
      <c r="C177" s="376">
        <v>37650</v>
      </c>
      <c r="D177" s="375">
        <v>310762016</v>
      </c>
      <c r="E177" s="319" t="s">
        <v>985</v>
      </c>
      <c r="F177" s="487">
        <v>19623.23</v>
      </c>
      <c r="G177" s="315">
        <f t="shared" si="0"/>
        <v>1783.93</v>
      </c>
      <c r="H177" s="317">
        <v>0.1</v>
      </c>
      <c r="I177" s="315">
        <f t="shared" si="1"/>
        <v>1783.9300000000003</v>
      </c>
      <c r="J177" s="315">
        <f t="shared" si="2"/>
        <v>1141.7152000000003</v>
      </c>
      <c r="K177" s="319"/>
      <c r="L177" s="579"/>
      <c r="M177" s="323"/>
    </row>
    <row r="178" spans="1:13">
      <c r="A178" s="496">
        <v>16132003</v>
      </c>
      <c r="B178" s="380" t="s">
        <v>22</v>
      </c>
      <c r="C178" s="382">
        <v>37650</v>
      </c>
      <c r="D178" s="641">
        <v>310742016</v>
      </c>
      <c r="E178" s="338" t="s">
        <v>986</v>
      </c>
      <c r="F178" s="637">
        <v>20130.82</v>
      </c>
      <c r="G178" s="334">
        <f t="shared" si="0"/>
        <v>1830.0745454545454</v>
      </c>
      <c r="H178" s="336">
        <v>0.1</v>
      </c>
      <c r="I178" s="334">
        <f t="shared" si="1"/>
        <v>1830.0745454545468</v>
      </c>
      <c r="J178" s="334">
        <f t="shared" si="2"/>
        <v>1171.2477090909099</v>
      </c>
      <c r="K178" s="338"/>
      <c r="L178" s="558"/>
      <c r="M178" s="343"/>
    </row>
    <row r="179" spans="1:13">
      <c r="A179" s="496">
        <v>16132003</v>
      </c>
      <c r="B179" s="380" t="s">
        <v>22</v>
      </c>
      <c r="C179" s="382">
        <v>37650</v>
      </c>
      <c r="D179" s="380">
        <v>310712016</v>
      </c>
      <c r="E179" s="338" t="s">
        <v>987</v>
      </c>
      <c r="F179" s="637">
        <v>17942.03</v>
      </c>
      <c r="G179" s="334">
        <f t="shared" si="0"/>
        <v>1631.0936363636363</v>
      </c>
      <c r="H179" s="336">
        <v>0.1</v>
      </c>
      <c r="I179" s="334">
        <f t="shared" si="1"/>
        <v>1631.0936363636374</v>
      </c>
      <c r="J179" s="334">
        <f t="shared" si="2"/>
        <v>1043.8999272727281</v>
      </c>
      <c r="K179" s="338"/>
      <c r="L179" s="558"/>
      <c r="M179" s="343"/>
    </row>
    <row r="180" spans="1:13">
      <c r="A180" s="562">
        <v>16132003</v>
      </c>
      <c r="B180" s="387" t="s">
        <v>22</v>
      </c>
      <c r="C180" s="388">
        <v>37650</v>
      </c>
      <c r="D180" s="387">
        <v>310702016</v>
      </c>
      <c r="E180" s="361" t="s">
        <v>988</v>
      </c>
      <c r="F180" s="642">
        <v>59952.31</v>
      </c>
      <c r="G180" s="357">
        <f t="shared" si="0"/>
        <v>5450.2099999999991</v>
      </c>
      <c r="H180" s="359">
        <v>0.1</v>
      </c>
      <c r="I180" s="357">
        <f t="shared" si="1"/>
        <v>5450.2100000000064</v>
      </c>
      <c r="J180" s="357">
        <f t="shared" si="2"/>
        <v>3488.134400000004</v>
      </c>
      <c r="K180" s="361"/>
      <c r="L180" s="568"/>
      <c r="M180" s="365"/>
    </row>
    <row r="181" spans="1:13">
      <c r="A181" s="557">
        <v>218562002</v>
      </c>
      <c r="B181" s="274" t="s">
        <v>22</v>
      </c>
      <c r="C181" s="275">
        <v>37620</v>
      </c>
      <c r="D181" s="274">
        <v>310772016</v>
      </c>
      <c r="E181" s="293" t="s">
        <v>989</v>
      </c>
      <c r="F181" s="643"/>
      <c r="G181" s="283">
        <f t="shared" si="0"/>
        <v>0</v>
      </c>
      <c r="H181" s="286"/>
      <c r="I181" s="283">
        <f t="shared" si="1"/>
        <v>0</v>
      </c>
      <c r="J181" s="283">
        <f t="shared" si="2"/>
        <v>0</v>
      </c>
      <c r="K181" s="293"/>
      <c r="L181" s="581"/>
      <c r="M181" s="297"/>
    </row>
    <row r="182" spans="1:13">
      <c r="A182" s="485">
        <v>94062008</v>
      </c>
      <c r="B182" s="375" t="s">
        <v>22</v>
      </c>
      <c r="C182" s="376">
        <v>39674</v>
      </c>
      <c r="D182" s="375">
        <v>312172016</v>
      </c>
      <c r="E182" s="319" t="s">
        <v>990</v>
      </c>
      <c r="F182" s="487">
        <v>92639.51</v>
      </c>
      <c r="G182" s="315">
        <f t="shared" si="0"/>
        <v>8421.7736363636359</v>
      </c>
      <c r="H182" s="317">
        <v>0.1</v>
      </c>
      <c r="I182" s="315">
        <f t="shared" si="1"/>
        <v>8421.7736363636359</v>
      </c>
      <c r="J182" s="315">
        <f t="shared" si="2"/>
        <v>5541.5270527272723</v>
      </c>
      <c r="K182" s="319" t="s">
        <v>254</v>
      </c>
      <c r="L182" s="556" t="s">
        <v>81</v>
      </c>
      <c r="M182" s="323"/>
    </row>
    <row r="183" spans="1:13">
      <c r="A183" s="562">
        <v>94062008</v>
      </c>
      <c r="B183" s="387" t="s">
        <v>22</v>
      </c>
      <c r="C183" s="388">
        <v>39674</v>
      </c>
      <c r="D183" s="387">
        <v>311992016</v>
      </c>
      <c r="E183" s="361" t="s">
        <v>991</v>
      </c>
      <c r="F183" s="642">
        <v>84105.81</v>
      </c>
      <c r="G183" s="357">
        <f t="shared" si="0"/>
        <v>7645.9827272727271</v>
      </c>
      <c r="H183" s="359">
        <v>0.1</v>
      </c>
      <c r="I183" s="357">
        <f t="shared" si="1"/>
        <v>7645.9827272727271</v>
      </c>
      <c r="J183" s="357">
        <f t="shared" si="2"/>
        <v>5031.0566345454545</v>
      </c>
      <c r="K183" s="361" t="s">
        <v>79</v>
      </c>
      <c r="L183" s="644" t="s">
        <v>81</v>
      </c>
      <c r="M183" s="365"/>
    </row>
    <row r="184" spans="1:13">
      <c r="A184" s="557">
        <v>115462002</v>
      </c>
      <c r="B184" s="274" t="s">
        <v>22</v>
      </c>
      <c r="C184" s="275">
        <v>37442</v>
      </c>
      <c r="D184" s="274">
        <v>147012016</v>
      </c>
      <c r="E184" s="293" t="s">
        <v>992</v>
      </c>
      <c r="F184" s="280">
        <v>140594.32999999999</v>
      </c>
      <c r="G184" s="283">
        <f t="shared" si="0"/>
        <v>12781.302727272727</v>
      </c>
      <c r="H184" s="286">
        <v>0.1</v>
      </c>
      <c r="I184" s="283">
        <f t="shared" si="1"/>
        <v>12781.302727272734</v>
      </c>
      <c r="J184" s="283">
        <f t="shared" si="2"/>
        <v>12781.302727272734</v>
      </c>
      <c r="K184" s="293"/>
      <c r="L184" s="645" t="s">
        <v>81</v>
      </c>
      <c r="M184" s="297"/>
    </row>
    <row r="185" spans="1:13">
      <c r="A185" s="525"/>
      <c r="B185" s="569"/>
      <c r="C185" s="569"/>
      <c r="D185" s="525"/>
      <c r="E185" s="559"/>
      <c r="F185" s="566"/>
      <c r="G185" s="395">
        <f t="shared" si="0"/>
        <v>0</v>
      </c>
      <c r="H185" s="397"/>
      <c r="I185" s="395">
        <f t="shared" si="1"/>
        <v>0</v>
      </c>
      <c r="J185" s="395">
        <f t="shared" si="2"/>
        <v>0</v>
      </c>
      <c r="K185" s="559"/>
      <c r="L185" s="571"/>
      <c r="M185" s="572"/>
    </row>
    <row r="186" spans="1:13">
      <c r="A186" s="380"/>
      <c r="B186" s="382"/>
      <c r="C186" s="382"/>
      <c r="D186" s="380"/>
      <c r="E186" s="338"/>
      <c r="F186" s="502"/>
      <c r="G186" s="334">
        <f t="shared" si="0"/>
        <v>0</v>
      </c>
      <c r="H186" s="336"/>
      <c r="I186" s="334">
        <f t="shared" si="1"/>
        <v>0</v>
      </c>
      <c r="J186" s="334">
        <f t="shared" si="2"/>
        <v>0</v>
      </c>
      <c r="K186" s="338"/>
      <c r="L186" s="558"/>
      <c r="M186" s="341"/>
    </row>
    <row r="187" spans="1:13">
      <c r="A187" s="380"/>
      <c r="B187" s="382"/>
      <c r="C187" s="382"/>
      <c r="D187" s="380"/>
      <c r="E187" s="338"/>
      <c r="F187" s="502"/>
      <c r="G187" s="334">
        <f t="shared" si="0"/>
        <v>0</v>
      </c>
      <c r="H187" s="336"/>
      <c r="I187" s="334">
        <f t="shared" si="1"/>
        <v>0</v>
      </c>
      <c r="J187" s="334">
        <f t="shared" si="2"/>
        <v>0</v>
      </c>
      <c r="K187" s="338"/>
      <c r="L187" s="558"/>
      <c r="M187" s="341"/>
    </row>
    <row r="188" spans="1:13">
      <c r="A188" s="380"/>
      <c r="B188" s="382"/>
      <c r="C188" s="382"/>
      <c r="D188" s="380"/>
      <c r="E188" s="338"/>
      <c r="F188" s="637"/>
      <c r="G188" s="334">
        <f t="shared" si="0"/>
        <v>0</v>
      </c>
      <c r="H188" s="336"/>
      <c r="I188" s="334">
        <f t="shared" si="1"/>
        <v>0</v>
      </c>
      <c r="J188" s="334">
        <f t="shared" si="2"/>
        <v>0</v>
      </c>
      <c r="K188" s="338"/>
      <c r="L188" s="558"/>
      <c r="M188" s="341"/>
    </row>
    <row r="189" spans="1:13">
      <c r="A189" s="380"/>
      <c r="B189" s="382"/>
      <c r="C189" s="382"/>
      <c r="D189" s="380"/>
      <c r="E189" s="338"/>
      <c r="F189" s="637"/>
      <c r="G189" s="334">
        <f t="shared" si="0"/>
        <v>0</v>
      </c>
      <c r="H189" s="336"/>
      <c r="I189" s="334">
        <f t="shared" si="1"/>
        <v>0</v>
      </c>
      <c r="J189" s="334">
        <f t="shared" si="2"/>
        <v>0</v>
      </c>
      <c r="K189" s="338"/>
      <c r="L189" s="558"/>
      <c r="M189" s="341"/>
    </row>
    <row r="190" spans="1:13">
      <c r="A190" s="380"/>
      <c r="B190" s="382"/>
      <c r="C190" s="382"/>
      <c r="D190" s="380"/>
      <c r="E190" s="338"/>
      <c r="F190" s="502"/>
      <c r="G190" s="334">
        <f t="shared" si="0"/>
        <v>0</v>
      </c>
      <c r="H190" s="336"/>
      <c r="I190" s="334">
        <f t="shared" si="1"/>
        <v>0</v>
      </c>
      <c r="J190" s="334">
        <f t="shared" si="2"/>
        <v>0</v>
      </c>
      <c r="K190" s="338"/>
      <c r="L190" s="558"/>
      <c r="M190" s="341"/>
    </row>
    <row r="191" spans="1:13">
      <c r="A191" s="380"/>
      <c r="B191" s="382"/>
      <c r="C191" s="382"/>
      <c r="D191" s="380"/>
      <c r="E191" s="338"/>
      <c r="F191" s="502"/>
      <c r="G191" s="334">
        <f t="shared" si="0"/>
        <v>0</v>
      </c>
      <c r="H191" s="336"/>
      <c r="I191" s="334">
        <f t="shared" si="1"/>
        <v>0</v>
      </c>
      <c r="J191" s="334">
        <f t="shared" si="2"/>
        <v>0</v>
      </c>
      <c r="K191" s="338"/>
      <c r="L191" s="558"/>
      <c r="M191" s="341"/>
    </row>
    <row r="192" spans="1:13">
      <c r="A192" s="380"/>
      <c r="B192" s="382"/>
      <c r="C192" s="382"/>
      <c r="D192" s="380"/>
      <c r="E192" s="338"/>
      <c r="F192" s="637"/>
      <c r="G192" s="334">
        <f t="shared" si="0"/>
        <v>0</v>
      </c>
      <c r="H192" s="336"/>
      <c r="I192" s="334">
        <f t="shared" si="1"/>
        <v>0</v>
      </c>
      <c r="J192" s="334">
        <f t="shared" si="2"/>
        <v>0</v>
      </c>
      <c r="K192" s="338"/>
      <c r="L192" s="558"/>
      <c r="M192" s="341"/>
    </row>
    <row r="193" spans="1:13">
      <c r="A193" s="380"/>
      <c r="B193" s="382"/>
      <c r="C193" s="382"/>
      <c r="D193" s="380"/>
      <c r="E193" s="338"/>
      <c r="F193" s="502"/>
      <c r="G193" s="334">
        <f t="shared" si="0"/>
        <v>0</v>
      </c>
      <c r="H193" s="336"/>
      <c r="I193" s="334">
        <f t="shared" si="1"/>
        <v>0</v>
      </c>
      <c r="J193" s="334">
        <f t="shared" si="2"/>
        <v>0</v>
      </c>
      <c r="K193" s="338"/>
      <c r="L193" s="558"/>
      <c r="M193" s="341"/>
    </row>
    <row r="194" spans="1:13">
      <c r="A194" s="380"/>
      <c r="B194" s="382"/>
      <c r="C194" s="382"/>
      <c r="D194" s="380"/>
      <c r="E194" s="338"/>
      <c r="F194" s="637"/>
      <c r="G194" s="334">
        <f t="shared" si="0"/>
        <v>0</v>
      </c>
      <c r="H194" s="336"/>
      <c r="I194" s="334">
        <f t="shared" si="1"/>
        <v>0</v>
      </c>
      <c r="J194" s="334">
        <f t="shared" si="2"/>
        <v>0</v>
      </c>
      <c r="K194" s="338"/>
      <c r="L194" s="558"/>
      <c r="M194" s="341"/>
    </row>
    <row r="195" spans="1:13">
      <c r="A195" s="380"/>
      <c r="B195" s="382"/>
      <c r="C195" s="382"/>
      <c r="D195" s="380"/>
      <c r="E195" s="338"/>
      <c r="F195" s="502"/>
      <c r="G195" s="334">
        <f t="shared" si="0"/>
        <v>0</v>
      </c>
      <c r="H195" s="336"/>
      <c r="I195" s="334">
        <f t="shared" si="1"/>
        <v>0</v>
      </c>
      <c r="J195" s="334">
        <f t="shared" si="2"/>
        <v>0</v>
      </c>
      <c r="K195" s="338"/>
      <c r="L195" s="558"/>
      <c r="M195" s="341"/>
    </row>
    <row r="196" spans="1:13">
      <c r="A196" s="380"/>
      <c r="B196" s="382"/>
      <c r="C196" s="382"/>
      <c r="D196" s="380"/>
      <c r="E196" s="338"/>
      <c r="F196" s="502"/>
      <c r="G196" s="334">
        <f t="shared" si="0"/>
        <v>0</v>
      </c>
      <c r="H196" s="336"/>
      <c r="I196" s="334">
        <f t="shared" si="1"/>
        <v>0</v>
      </c>
      <c r="J196" s="334">
        <f t="shared" si="2"/>
        <v>0</v>
      </c>
      <c r="K196" s="338"/>
      <c r="L196" s="558"/>
      <c r="M196" s="341"/>
    </row>
    <row r="197" spans="1:13">
      <c r="A197" s="380"/>
      <c r="B197" s="382"/>
      <c r="C197" s="382"/>
      <c r="D197" s="380"/>
      <c r="E197" s="338"/>
      <c r="F197" s="502"/>
      <c r="G197" s="334">
        <f t="shared" si="0"/>
        <v>0</v>
      </c>
      <c r="H197" s="336"/>
      <c r="I197" s="334">
        <f t="shared" si="1"/>
        <v>0</v>
      </c>
      <c r="J197" s="334">
        <f t="shared" si="2"/>
        <v>0</v>
      </c>
      <c r="K197" s="338"/>
      <c r="L197" s="558"/>
      <c r="M197" s="341"/>
    </row>
    <row r="198" spans="1:13">
      <c r="A198" s="380"/>
      <c r="B198" s="382"/>
      <c r="C198" s="382"/>
      <c r="D198" s="380"/>
      <c r="E198" s="338"/>
      <c r="F198" s="637"/>
      <c r="G198" s="334">
        <f t="shared" si="0"/>
        <v>0</v>
      </c>
      <c r="H198" s="336"/>
      <c r="I198" s="334">
        <f t="shared" si="1"/>
        <v>0</v>
      </c>
      <c r="J198" s="334">
        <f t="shared" si="2"/>
        <v>0</v>
      </c>
      <c r="K198" s="338"/>
      <c r="L198" s="558"/>
      <c r="M198" s="341"/>
    </row>
    <row r="199" spans="1:13">
      <c r="A199" s="380"/>
      <c r="B199" s="382"/>
      <c r="C199" s="382"/>
      <c r="D199" s="380"/>
      <c r="E199" s="338"/>
      <c r="F199" s="502"/>
      <c r="G199" s="598">
        <f t="shared" si="0"/>
        <v>0</v>
      </c>
      <c r="H199" s="599"/>
      <c r="I199" s="598">
        <f t="shared" si="1"/>
        <v>0</v>
      </c>
      <c r="J199" s="598">
        <f t="shared" si="2"/>
        <v>0</v>
      </c>
      <c r="K199" s="330"/>
      <c r="L199" s="558"/>
      <c r="M199" s="341"/>
    </row>
    <row r="200" spans="1:13">
      <c r="A200" s="380"/>
      <c r="B200" s="382"/>
      <c r="C200" s="382"/>
      <c r="D200" s="380"/>
      <c r="E200" s="338"/>
      <c r="F200" s="502"/>
      <c r="G200" s="598">
        <f t="shared" si="0"/>
        <v>0</v>
      </c>
      <c r="H200" s="599"/>
      <c r="I200" s="598">
        <f t="shared" si="1"/>
        <v>0</v>
      </c>
      <c r="J200" s="598">
        <f t="shared" si="2"/>
        <v>0</v>
      </c>
      <c r="K200" s="330"/>
      <c r="L200" s="558"/>
      <c r="M200" s="341"/>
    </row>
    <row r="201" spans="1:13">
      <c r="A201" s="380"/>
      <c r="B201" s="382"/>
      <c r="C201" s="382"/>
      <c r="D201" s="380"/>
      <c r="E201" s="338"/>
      <c r="F201" s="637"/>
      <c r="G201" s="334">
        <f t="shared" si="0"/>
        <v>0</v>
      </c>
      <c r="H201" s="336"/>
      <c r="I201" s="334">
        <f t="shared" si="1"/>
        <v>0</v>
      </c>
      <c r="J201" s="334">
        <f t="shared" si="2"/>
        <v>0</v>
      </c>
      <c r="K201" s="338"/>
      <c r="L201" s="558"/>
      <c r="M201" s="341"/>
    </row>
    <row r="202" spans="1:13">
      <c r="A202" s="380"/>
      <c r="B202" s="382"/>
      <c r="C202" s="382"/>
      <c r="D202" s="380"/>
      <c r="E202" s="338"/>
      <c r="F202" s="502"/>
      <c r="G202" s="598">
        <f t="shared" si="0"/>
        <v>0</v>
      </c>
      <c r="H202" s="599"/>
      <c r="I202" s="598">
        <f t="shared" si="1"/>
        <v>0</v>
      </c>
      <c r="J202" s="598">
        <f t="shared" si="2"/>
        <v>0</v>
      </c>
      <c r="K202" s="330"/>
      <c r="L202" s="558"/>
      <c r="M202" s="341"/>
    </row>
    <row r="203" spans="1:13">
      <c r="A203" s="380"/>
      <c r="B203" s="382"/>
      <c r="C203" s="382"/>
      <c r="D203" s="380"/>
      <c r="E203" s="338"/>
      <c r="F203" s="637"/>
      <c r="G203" s="334">
        <f t="shared" si="0"/>
        <v>0</v>
      </c>
      <c r="H203" s="336"/>
      <c r="I203" s="334">
        <f t="shared" si="1"/>
        <v>0</v>
      </c>
      <c r="J203" s="334">
        <f t="shared" si="2"/>
        <v>0</v>
      </c>
      <c r="K203" s="338"/>
      <c r="L203" s="558"/>
      <c r="M203" s="341"/>
    </row>
    <row r="204" spans="1:13">
      <c r="A204" s="380"/>
      <c r="B204" s="382"/>
      <c r="C204" s="382"/>
      <c r="D204" s="380"/>
      <c r="E204" s="338"/>
      <c r="F204" s="637"/>
      <c r="G204" s="334">
        <f t="shared" si="0"/>
        <v>0</v>
      </c>
      <c r="H204" s="336"/>
      <c r="I204" s="334">
        <f t="shared" si="1"/>
        <v>0</v>
      </c>
      <c r="J204" s="334">
        <f t="shared" si="2"/>
        <v>0</v>
      </c>
      <c r="K204" s="338"/>
      <c r="L204" s="558"/>
      <c r="M204" s="341"/>
    </row>
    <row r="205" spans="1:13">
      <c r="A205" s="380"/>
      <c r="B205" s="382"/>
      <c r="C205" s="382"/>
      <c r="D205" s="380"/>
      <c r="E205" s="338"/>
      <c r="F205" s="637"/>
      <c r="G205" s="334">
        <f t="shared" si="0"/>
        <v>0</v>
      </c>
      <c r="H205" s="336"/>
      <c r="I205" s="334">
        <f t="shared" si="1"/>
        <v>0</v>
      </c>
      <c r="J205" s="334">
        <f t="shared" si="2"/>
        <v>0</v>
      </c>
      <c r="K205" s="338"/>
      <c r="L205" s="558"/>
      <c r="M205" s="341"/>
    </row>
    <row r="206" spans="1:13">
      <c r="A206" s="327"/>
      <c r="B206" s="328"/>
      <c r="C206" s="328"/>
      <c r="D206" s="500"/>
      <c r="E206" s="330"/>
      <c r="F206" s="502"/>
      <c r="G206" s="598">
        <f t="shared" si="0"/>
        <v>0</v>
      </c>
      <c r="H206" s="599"/>
      <c r="I206" s="598">
        <f t="shared" si="1"/>
        <v>0</v>
      </c>
      <c r="J206" s="598">
        <f t="shared" si="2"/>
        <v>0</v>
      </c>
      <c r="K206" s="330"/>
      <c r="L206" s="558"/>
      <c r="M206" s="341"/>
    </row>
    <row r="207" spans="1:13">
      <c r="A207" s="327"/>
      <c r="B207" s="328"/>
      <c r="C207" s="328"/>
      <c r="D207" s="500"/>
      <c r="E207" s="330"/>
      <c r="F207" s="502"/>
      <c r="G207" s="598">
        <f t="shared" si="0"/>
        <v>0</v>
      </c>
      <c r="H207" s="599"/>
      <c r="I207" s="598">
        <f t="shared" si="1"/>
        <v>0</v>
      </c>
      <c r="J207" s="598">
        <f t="shared" si="2"/>
        <v>0</v>
      </c>
      <c r="K207" s="330"/>
      <c r="L207" s="558"/>
      <c r="M207" s="341"/>
    </row>
    <row r="208" spans="1:13">
      <c r="A208" s="327"/>
      <c r="B208" s="328"/>
      <c r="C208" s="328"/>
      <c r="D208" s="500"/>
      <c r="E208" s="330"/>
      <c r="F208" s="502"/>
      <c r="G208" s="598">
        <f t="shared" si="0"/>
        <v>0</v>
      </c>
      <c r="H208" s="599"/>
      <c r="I208" s="598">
        <f t="shared" si="1"/>
        <v>0</v>
      </c>
      <c r="J208" s="598">
        <f t="shared" si="2"/>
        <v>0</v>
      </c>
      <c r="K208" s="330"/>
      <c r="L208" s="558"/>
      <c r="M208" s="341"/>
    </row>
    <row r="209" spans="1:13">
      <c r="A209" s="327"/>
      <c r="B209" s="328"/>
      <c r="C209" s="328"/>
      <c r="D209" s="500"/>
      <c r="E209" s="330"/>
      <c r="F209" s="502"/>
      <c r="G209" s="598">
        <f t="shared" si="0"/>
        <v>0</v>
      </c>
      <c r="H209" s="599"/>
      <c r="I209" s="598">
        <f t="shared" si="1"/>
        <v>0</v>
      </c>
      <c r="J209" s="598">
        <f t="shared" si="2"/>
        <v>0</v>
      </c>
      <c r="K209" s="330"/>
      <c r="L209" s="558"/>
      <c r="M209" s="341"/>
    </row>
    <row r="210" spans="1:13">
      <c r="A210" s="327"/>
      <c r="B210" s="328"/>
      <c r="C210" s="328"/>
      <c r="D210" s="500"/>
      <c r="E210" s="330"/>
      <c r="F210" s="502"/>
      <c r="G210" s="598">
        <f t="shared" si="0"/>
        <v>0</v>
      </c>
      <c r="H210" s="599"/>
      <c r="I210" s="598">
        <f t="shared" si="1"/>
        <v>0</v>
      </c>
      <c r="J210" s="598">
        <f t="shared" si="2"/>
        <v>0</v>
      </c>
      <c r="K210" s="330"/>
      <c r="L210" s="558"/>
      <c r="M210" s="341"/>
    </row>
    <row r="211" spans="1:13">
      <c r="A211" s="327"/>
      <c r="B211" s="328"/>
      <c r="C211" s="328"/>
      <c r="D211" s="500"/>
      <c r="E211" s="330"/>
      <c r="F211" s="502"/>
      <c r="G211" s="598">
        <f t="shared" si="0"/>
        <v>0</v>
      </c>
      <c r="H211" s="599"/>
      <c r="I211" s="598">
        <f t="shared" si="1"/>
        <v>0</v>
      </c>
      <c r="J211" s="598">
        <f t="shared" si="2"/>
        <v>0</v>
      </c>
      <c r="K211" s="330"/>
      <c r="L211" s="558"/>
      <c r="M211" s="341"/>
    </row>
    <row r="212" spans="1:13">
      <c r="A212" s="327"/>
      <c r="B212" s="328"/>
      <c r="C212" s="328"/>
      <c r="D212" s="500"/>
      <c r="E212" s="330"/>
      <c r="F212" s="502"/>
      <c r="G212" s="598">
        <f t="shared" si="0"/>
        <v>0</v>
      </c>
      <c r="H212" s="599"/>
      <c r="I212" s="598">
        <f t="shared" si="1"/>
        <v>0</v>
      </c>
      <c r="J212" s="598">
        <f t="shared" si="2"/>
        <v>0</v>
      </c>
      <c r="K212" s="330"/>
      <c r="L212" s="558"/>
      <c r="M212" s="341"/>
    </row>
    <row r="213" spans="1:13">
      <c r="A213" s="327"/>
      <c r="B213" s="328"/>
      <c r="C213" s="328"/>
      <c r="D213" s="500"/>
      <c r="E213" s="330"/>
      <c r="F213" s="502"/>
      <c r="G213" s="598">
        <f t="shared" si="0"/>
        <v>0</v>
      </c>
      <c r="H213" s="599"/>
      <c r="I213" s="598">
        <f t="shared" si="1"/>
        <v>0</v>
      </c>
      <c r="J213" s="598">
        <f t="shared" si="2"/>
        <v>0</v>
      </c>
      <c r="K213" s="330"/>
      <c r="L213" s="558"/>
      <c r="M213" s="341"/>
    </row>
    <row r="214" spans="1:13">
      <c r="A214" s="327"/>
      <c r="B214" s="328"/>
      <c r="C214" s="328"/>
      <c r="D214" s="500"/>
      <c r="E214" s="330"/>
      <c r="F214" s="502"/>
      <c r="G214" s="598">
        <f t="shared" si="0"/>
        <v>0</v>
      </c>
      <c r="H214" s="599"/>
      <c r="I214" s="598">
        <f t="shared" si="1"/>
        <v>0</v>
      </c>
      <c r="J214" s="598">
        <f t="shared" si="2"/>
        <v>0</v>
      </c>
      <c r="K214" s="330"/>
      <c r="L214" s="558"/>
      <c r="M214" s="341"/>
    </row>
    <row r="215" spans="1:13">
      <c r="A215" s="330"/>
      <c r="B215" s="600"/>
      <c r="C215" s="600"/>
      <c r="D215" s="647"/>
      <c r="E215" s="330"/>
      <c r="F215" s="502"/>
      <c r="G215" s="598">
        <f t="shared" si="0"/>
        <v>0</v>
      </c>
      <c r="H215" s="599"/>
      <c r="I215" s="598">
        <f t="shared" si="1"/>
        <v>0</v>
      </c>
      <c r="J215" s="598">
        <f t="shared" si="2"/>
        <v>0</v>
      </c>
      <c r="K215" s="330"/>
      <c r="L215" s="558"/>
      <c r="M215" s="341"/>
    </row>
    <row r="216" spans="1:13">
      <c r="A216" s="658" t="s">
        <v>176</v>
      </c>
      <c r="B216" s="652"/>
      <c r="C216" s="652"/>
      <c r="D216" s="652"/>
      <c r="E216" s="653"/>
      <c r="F216" s="609">
        <f t="shared" ref="F216:G216" si="3">SUM(F3:F215)</f>
        <v>5037890.1100000013</v>
      </c>
      <c r="G216" s="609">
        <f t="shared" si="3"/>
        <v>329486.27303679648</v>
      </c>
      <c r="H216" s="609"/>
      <c r="I216" s="609">
        <f t="shared" ref="I216:J216" si="4">SUM(I3:I215)</f>
        <v>313390.38915584428</v>
      </c>
      <c r="J216" s="609">
        <f t="shared" si="4"/>
        <v>257969.2360659742</v>
      </c>
      <c r="K216" s="616"/>
      <c r="L216" s="648"/>
      <c r="M216" s="618"/>
    </row>
  </sheetData>
  <mergeCells count="2">
    <mergeCell ref="A216:E216"/>
    <mergeCell ref="A1:M1"/>
  </mergeCells>
  <dataValidations count="1">
    <dataValidation type="list" allowBlank="1" sqref="B3:B215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"/>
  <sheetViews>
    <sheetView workbookViewId="0">
      <pane ySplit="2" topLeftCell="A3" activePane="bottomLeft" state="frozen"/>
      <selection pane="bottomLeft" activeCell="B4" sqref="B4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2.7109375" customWidth="1"/>
    <col min="12" max="12" width="6.42578125" customWidth="1"/>
    <col min="13" max="13" width="4.42578125" customWidth="1"/>
  </cols>
  <sheetData>
    <row r="1" spans="1:13">
      <c r="A1" s="659" t="s">
        <v>624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3"/>
    </row>
    <row r="2" spans="1:13">
      <c r="A2" s="256" t="s">
        <v>3</v>
      </c>
      <c r="B2" s="260" t="s">
        <v>6</v>
      </c>
      <c r="C2" s="261" t="s">
        <v>8</v>
      </c>
      <c r="D2" s="484" t="s">
        <v>9</v>
      </c>
      <c r="E2" s="256" t="s">
        <v>10</v>
      </c>
      <c r="F2" s="263" t="s">
        <v>11</v>
      </c>
      <c r="G2" s="265" t="s">
        <v>12</v>
      </c>
      <c r="H2" s="269" t="s">
        <v>13</v>
      </c>
      <c r="I2" s="265" t="s">
        <v>14</v>
      </c>
      <c r="J2" s="265" t="s">
        <v>15</v>
      </c>
      <c r="K2" s="256" t="s">
        <v>16</v>
      </c>
      <c r="L2" s="260" t="s">
        <v>135</v>
      </c>
      <c r="M2" s="260" t="s">
        <v>17</v>
      </c>
    </row>
    <row r="3" spans="1:13">
      <c r="A3" s="485">
        <v>187912002</v>
      </c>
      <c r="B3" s="375" t="s">
        <v>22</v>
      </c>
      <c r="C3" s="376">
        <v>37565</v>
      </c>
      <c r="D3" s="375">
        <v>59572017</v>
      </c>
      <c r="E3" s="319" t="s">
        <v>710</v>
      </c>
      <c r="F3" s="487"/>
      <c r="G3" s="315">
        <f t="shared" ref="G3:G220" si="0">IF(H3=0,F3*0.1,IF(OR(B3="Descompressão",B3="MS 207002004"),(F3-I3)*0.05,(F3-I3)*0.1))</f>
        <v>0</v>
      </c>
      <c r="H3" s="317">
        <v>0.1</v>
      </c>
      <c r="I3" s="315">
        <f t="shared" ref="I3:I220" si="1">IF(H3=100%,F3,IF(H3=0,0,(F3-(F3/(1+H3)))))</f>
        <v>0</v>
      </c>
      <c r="J3" s="315">
        <f t="shared" ref="J3:J220" si="2">IF(OR($C3&lt;DATE(2002,7,30),$C3&gt;DATE(2012,1,3)),$I3,IF(AND($C3&gt;DATE(2002,7,29),$C3&lt;DATE(2004,3,1)),$I3*0.64,IF(AND($C3&gt;DATE(2004,2,28),$C3&lt;DATE(2012,1,4)),$I3*0.658)))</f>
        <v>0</v>
      </c>
      <c r="K3" s="319"/>
      <c r="L3" s="556" t="s">
        <v>81</v>
      </c>
      <c r="M3" s="323"/>
    </row>
    <row r="4" spans="1:13">
      <c r="A4" s="496">
        <v>187912002</v>
      </c>
      <c r="B4" s="382" t="s">
        <v>22</v>
      </c>
      <c r="C4" s="382">
        <v>37565</v>
      </c>
      <c r="D4" s="500"/>
      <c r="E4" s="338" t="s">
        <v>723</v>
      </c>
      <c r="F4" s="502"/>
      <c r="G4" s="334">
        <f t="shared" si="0"/>
        <v>0</v>
      </c>
      <c r="H4" s="336">
        <v>0.1</v>
      </c>
      <c r="I4" s="334">
        <f t="shared" si="1"/>
        <v>0</v>
      </c>
      <c r="J4" s="334">
        <f t="shared" si="2"/>
        <v>0</v>
      </c>
      <c r="K4" s="338"/>
      <c r="L4" s="558"/>
      <c r="M4" s="343"/>
    </row>
    <row r="5" spans="1:13">
      <c r="A5" s="496">
        <v>187912002</v>
      </c>
      <c r="B5" s="382" t="s">
        <v>22</v>
      </c>
      <c r="C5" s="382">
        <v>37565</v>
      </c>
      <c r="D5" s="500"/>
      <c r="E5" s="338" t="s">
        <v>728</v>
      </c>
      <c r="F5" s="345"/>
      <c r="G5" s="334">
        <f t="shared" si="0"/>
        <v>0</v>
      </c>
      <c r="H5" s="336">
        <v>0.1</v>
      </c>
      <c r="I5" s="334">
        <f t="shared" si="1"/>
        <v>0</v>
      </c>
      <c r="J5" s="334">
        <f t="shared" si="2"/>
        <v>0</v>
      </c>
      <c r="K5" s="338"/>
      <c r="L5" s="558"/>
      <c r="M5" s="343"/>
    </row>
    <row r="6" spans="1:13">
      <c r="A6" s="496">
        <v>187912002</v>
      </c>
      <c r="B6" s="382" t="s">
        <v>22</v>
      </c>
      <c r="C6" s="382">
        <v>37565</v>
      </c>
      <c r="D6" s="500"/>
      <c r="E6" s="338" t="s">
        <v>730</v>
      </c>
      <c r="F6" s="332"/>
      <c r="G6" s="334">
        <f t="shared" si="0"/>
        <v>0</v>
      </c>
      <c r="H6" s="336">
        <v>0.1</v>
      </c>
      <c r="I6" s="334">
        <f t="shared" si="1"/>
        <v>0</v>
      </c>
      <c r="J6" s="334">
        <f t="shared" si="2"/>
        <v>0</v>
      </c>
      <c r="K6" s="338"/>
      <c r="L6" s="558"/>
      <c r="M6" s="343"/>
    </row>
    <row r="7" spans="1:13">
      <c r="A7" s="562">
        <v>187912002</v>
      </c>
      <c r="B7" s="388" t="s">
        <v>22</v>
      </c>
      <c r="C7" s="388">
        <v>37565</v>
      </c>
      <c r="D7" s="564"/>
      <c r="E7" s="361" t="s">
        <v>732</v>
      </c>
      <c r="F7" s="355"/>
      <c r="G7" s="357">
        <f t="shared" si="0"/>
        <v>0</v>
      </c>
      <c r="H7" s="359">
        <v>0.1</v>
      </c>
      <c r="I7" s="357">
        <f t="shared" si="1"/>
        <v>0</v>
      </c>
      <c r="J7" s="357">
        <f t="shared" si="2"/>
        <v>0</v>
      </c>
      <c r="K7" s="361"/>
      <c r="L7" s="568"/>
      <c r="M7" s="365"/>
    </row>
    <row r="8" spans="1:13">
      <c r="A8" s="525"/>
      <c r="B8" s="569"/>
      <c r="C8" s="569"/>
      <c r="D8" s="570"/>
      <c r="E8" s="559"/>
      <c r="F8" s="444"/>
      <c r="G8" s="395">
        <f t="shared" si="0"/>
        <v>0</v>
      </c>
      <c r="H8" s="397"/>
      <c r="I8" s="395">
        <f t="shared" si="1"/>
        <v>0</v>
      </c>
      <c r="J8" s="395">
        <f t="shared" si="2"/>
        <v>0</v>
      </c>
      <c r="K8" s="559"/>
      <c r="L8" s="571"/>
      <c r="M8" s="572"/>
    </row>
    <row r="9" spans="1:13">
      <c r="A9" s="380"/>
      <c r="B9" s="382"/>
      <c r="C9" s="382"/>
      <c r="D9" s="500"/>
      <c r="E9" s="338"/>
      <c r="F9" s="345"/>
      <c r="G9" s="395">
        <f t="shared" si="0"/>
        <v>0</v>
      </c>
      <c r="H9" s="397"/>
      <c r="I9" s="395">
        <f t="shared" si="1"/>
        <v>0</v>
      </c>
      <c r="J9" s="395">
        <f t="shared" si="2"/>
        <v>0</v>
      </c>
      <c r="K9" s="338"/>
      <c r="L9" s="558"/>
      <c r="M9" s="341"/>
    </row>
    <row r="10" spans="1:13">
      <c r="A10" s="380"/>
      <c r="B10" s="382"/>
      <c r="C10" s="382"/>
      <c r="D10" s="500"/>
      <c r="E10" s="338"/>
      <c r="F10" s="345"/>
      <c r="G10" s="395">
        <f t="shared" si="0"/>
        <v>0</v>
      </c>
      <c r="H10" s="397"/>
      <c r="I10" s="395">
        <f t="shared" si="1"/>
        <v>0</v>
      </c>
      <c r="J10" s="395">
        <f t="shared" si="2"/>
        <v>0</v>
      </c>
      <c r="K10" s="338"/>
      <c r="L10" s="558"/>
      <c r="M10" s="341"/>
    </row>
    <row r="11" spans="1:13">
      <c r="A11" s="380"/>
      <c r="B11" s="382"/>
      <c r="C11" s="382"/>
      <c r="D11" s="500"/>
      <c r="E11" s="338"/>
      <c r="F11" s="332"/>
      <c r="G11" s="395">
        <f t="shared" si="0"/>
        <v>0</v>
      </c>
      <c r="H11" s="397"/>
      <c r="I11" s="395">
        <f t="shared" si="1"/>
        <v>0</v>
      </c>
      <c r="J11" s="395">
        <f t="shared" si="2"/>
        <v>0</v>
      </c>
      <c r="K11" s="338"/>
      <c r="L11" s="558"/>
      <c r="M11" s="341"/>
    </row>
    <row r="12" spans="1:13">
      <c r="A12" s="380"/>
      <c r="B12" s="382"/>
      <c r="C12" s="382"/>
      <c r="D12" s="500"/>
      <c r="E12" s="338"/>
      <c r="F12" s="345"/>
      <c r="G12" s="395">
        <f t="shared" si="0"/>
        <v>0</v>
      </c>
      <c r="H12" s="397"/>
      <c r="I12" s="395">
        <f t="shared" si="1"/>
        <v>0</v>
      </c>
      <c r="J12" s="395">
        <f t="shared" si="2"/>
        <v>0</v>
      </c>
      <c r="K12" s="338"/>
      <c r="L12" s="558"/>
      <c r="M12" s="341"/>
    </row>
    <row r="13" spans="1:13">
      <c r="A13" s="380"/>
      <c r="B13" s="382"/>
      <c r="C13" s="382"/>
      <c r="D13" s="380"/>
      <c r="E13" s="338"/>
      <c r="F13" s="332"/>
      <c r="G13" s="395">
        <f t="shared" si="0"/>
        <v>0</v>
      </c>
      <c r="H13" s="397"/>
      <c r="I13" s="395">
        <f t="shared" si="1"/>
        <v>0</v>
      </c>
      <c r="J13" s="395">
        <f t="shared" si="2"/>
        <v>0</v>
      </c>
      <c r="K13" s="338"/>
      <c r="L13" s="558"/>
      <c r="M13" s="341"/>
    </row>
    <row r="14" spans="1:13">
      <c r="A14" s="380"/>
      <c r="B14" s="382"/>
      <c r="C14" s="382"/>
      <c r="D14" s="380"/>
      <c r="E14" s="338"/>
      <c r="F14" s="332"/>
      <c r="G14" s="395">
        <f t="shared" si="0"/>
        <v>0</v>
      </c>
      <c r="H14" s="397"/>
      <c r="I14" s="395">
        <f t="shared" si="1"/>
        <v>0</v>
      </c>
      <c r="J14" s="395">
        <f t="shared" si="2"/>
        <v>0</v>
      </c>
      <c r="K14" s="338"/>
      <c r="L14" s="558"/>
      <c r="M14" s="341"/>
    </row>
    <row r="15" spans="1:13">
      <c r="A15" s="380"/>
      <c r="B15" s="382"/>
      <c r="C15" s="382"/>
      <c r="D15" s="380"/>
      <c r="E15" s="338"/>
      <c r="F15" s="345"/>
      <c r="G15" s="395">
        <f t="shared" si="0"/>
        <v>0</v>
      </c>
      <c r="H15" s="397"/>
      <c r="I15" s="395">
        <f t="shared" si="1"/>
        <v>0</v>
      </c>
      <c r="J15" s="395">
        <f t="shared" si="2"/>
        <v>0</v>
      </c>
      <c r="K15" s="338"/>
      <c r="L15" s="558"/>
      <c r="M15" s="341"/>
    </row>
    <row r="16" spans="1:13">
      <c r="A16" s="380"/>
      <c r="B16" s="382"/>
      <c r="C16" s="382"/>
      <c r="D16" s="380"/>
      <c r="E16" s="338"/>
      <c r="F16" s="345"/>
      <c r="G16" s="395">
        <f t="shared" si="0"/>
        <v>0</v>
      </c>
      <c r="H16" s="397"/>
      <c r="I16" s="395">
        <f t="shared" si="1"/>
        <v>0</v>
      </c>
      <c r="J16" s="395">
        <f t="shared" si="2"/>
        <v>0</v>
      </c>
      <c r="K16" s="338"/>
      <c r="L16" s="558"/>
      <c r="M16" s="341"/>
    </row>
    <row r="17" spans="1:13">
      <c r="A17" s="380"/>
      <c r="B17" s="382"/>
      <c r="C17" s="382"/>
      <c r="D17" s="380"/>
      <c r="E17" s="338"/>
      <c r="F17" s="345"/>
      <c r="G17" s="395">
        <f t="shared" si="0"/>
        <v>0</v>
      </c>
      <c r="H17" s="397"/>
      <c r="I17" s="395">
        <f t="shared" si="1"/>
        <v>0</v>
      </c>
      <c r="J17" s="395">
        <f t="shared" si="2"/>
        <v>0</v>
      </c>
      <c r="K17" s="338"/>
      <c r="L17" s="558"/>
      <c r="M17" s="341"/>
    </row>
    <row r="18" spans="1:13">
      <c r="A18" s="573"/>
      <c r="B18" s="380"/>
      <c r="C18" s="382"/>
      <c r="D18" s="380"/>
      <c r="E18" s="338"/>
      <c r="F18" s="332"/>
      <c r="G18" s="395">
        <f t="shared" si="0"/>
        <v>0</v>
      </c>
      <c r="H18" s="397"/>
      <c r="I18" s="395">
        <f t="shared" si="1"/>
        <v>0</v>
      </c>
      <c r="J18" s="395">
        <f t="shared" si="2"/>
        <v>0</v>
      </c>
      <c r="K18" s="338"/>
      <c r="L18" s="574"/>
      <c r="M18" s="341"/>
    </row>
    <row r="19" spans="1:13">
      <c r="A19" s="573"/>
      <c r="B19" s="382"/>
      <c r="C19" s="382"/>
      <c r="D19" s="380"/>
      <c r="E19" s="338"/>
      <c r="F19" s="332"/>
      <c r="G19" s="395">
        <f t="shared" si="0"/>
        <v>0</v>
      </c>
      <c r="H19" s="397"/>
      <c r="I19" s="395">
        <f t="shared" si="1"/>
        <v>0</v>
      </c>
      <c r="J19" s="395">
        <f t="shared" si="2"/>
        <v>0</v>
      </c>
      <c r="K19" s="338"/>
      <c r="L19" s="558"/>
      <c r="M19" s="341"/>
    </row>
    <row r="20" spans="1:13">
      <c r="A20" s="573"/>
      <c r="B20" s="382"/>
      <c r="C20" s="382"/>
      <c r="D20" s="380"/>
      <c r="E20" s="338"/>
      <c r="F20" s="332"/>
      <c r="G20" s="395">
        <f t="shared" si="0"/>
        <v>0</v>
      </c>
      <c r="H20" s="397"/>
      <c r="I20" s="395">
        <f t="shared" si="1"/>
        <v>0</v>
      </c>
      <c r="J20" s="395">
        <f t="shared" si="2"/>
        <v>0</v>
      </c>
      <c r="K20" s="338"/>
      <c r="L20" s="558"/>
      <c r="M20" s="341"/>
    </row>
    <row r="21" spans="1:13">
      <c r="A21" s="576"/>
      <c r="B21" s="380"/>
      <c r="C21" s="382"/>
      <c r="D21" s="380"/>
      <c r="E21" s="338"/>
      <c r="F21" s="332"/>
      <c r="G21" s="395">
        <f t="shared" si="0"/>
        <v>0</v>
      </c>
      <c r="H21" s="397"/>
      <c r="I21" s="395">
        <f t="shared" si="1"/>
        <v>0</v>
      </c>
      <c r="J21" s="395">
        <f t="shared" si="2"/>
        <v>0</v>
      </c>
      <c r="K21" s="338"/>
      <c r="L21" s="558"/>
      <c r="M21" s="341"/>
    </row>
    <row r="22" spans="1:13">
      <c r="A22" s="576"/>
      <c r="B22" s="380"/>
      <c r="C22" s="382"/>
      <c r="D22" s="380"/>
      <c r="E22" s="338"/>
      <c r="F22" s="332"/>
      <c r="G22" s="395">
        <f t="shared" si="0"/>
        <v>0</v>
      </c>
      <c r="H22" s="397"/>
      <c r="I22" s="395">
        <f t="shared" si="1"/>
        <v>0</v>
      </c>
      <c r="J22" s="395">
        <f t="shared" si="2"/>
        <v>0</v>
      </c>
      <c r="K22" s="338"/>
      <c r="L22" s="558"/>
      <c r="M22" s="341"/>
    </row>
    <row r="23" spans="1:13">
      <c r="A23" s="576"/>
      <c r="B23" s="382"/>
      <c r="C23" s="382"/>
      <c r="D23" s="380"/>
      <c r="E23" s="338"/>
      <c r="F23" s="332"/>
      <c r="G23" s="395">
        <f t="shared" si="0"/>
        <v>0</v>
      </c>
      <c r="H23" s="397"/>
      <c r="I23" s="395">
        <f t="shared" si="1"/>
        <v>0</v>
      </c>
      <c r="J23" s="395">
        <f t="shared" si="2"/>
        <v>0</v>
      </c>
      <c r="K23" s="338"/>
      <c r="L23" s="574"/>
      <c r="M23" s="341"/>
    </row>
    <row r="24" spans="1:13">
      <c r="A24" s="576"/>
      <c r="B24" s="382"/>
      <c r="C24" s="382"/>
      <c r="D24" s="380"/>
      <c r="E24" s="338"/>
      <c r="F24" s="345"/>
      <c r="G24" s="395">
        <f t="shared" si="0"/>
        <v>0</v>
      </c>
      <c r="H24" s="397"/>
      <c r="I24" s="395">
        <f t="shared" si="1"/>
        <v>0</v>
      </c>
      <c r="J24" s="395">
        <f t="shared" si="2"/>
        <v>0</v>
      </c>
      <c r="K24" s="338"/>
      <c r="L24" s="558"/>
      <c r="M24" s="341"/>
    </row>
    <row r="25" spans="1:13">
      <c r="A25" s="576"/>
      <c r="B25" s="382"/>
      <c r="C25" s="382"/>
      <c r="D25" s="380"/>
      <c r="E25" s="338"/>
      <c r="F25" s="345"/>
      <c r="G25" s="395">
        <f t="shared" si="0"/>
        <v>0</v>
      </c>
      <c r="H25" s="397"/>
      <c r="I25" s="395">
        <f t="shared" si="1"/>
        <v>0</v>
      </c>
      <c r="J25" s="395">
        <f t="shared" si="2"/>
        <v>0</v>
      </c>
      <c r="K25" s="338"/>
      <c r="L25" s="558"/>
      <c r="M25" s="341"/>
    </row>
    <row r="26" spans="1:13">
      <c r="A26" s="573"/>
      <c r="B26" s="382"/>
      <c r="C26" s="382"/>
      <c r="D26" s="380"/>
      <c r="E26" s="338"/>
      <c r="F26" s="332"/>
      <c r="G26" s="395">
        <f t="shared" si="0"/>
        <v>0</v>
      </c>
      <c r="H26" s="397"/>
      <c r="I26" s="395">
        <f t="shared" si="1"/>
        <v>0</v>
      </c>
      <c r="J26" s="395">
        <f t="shared" si="2"/>
        <v>0</v>
      </c>
      <c r="K26" s="338"/>
      <c r="L26" s="558"/>
      <c r="M26" s="341"/>
    </row>
    <row r="27" spans="1:13">
      <c r="A27" s="573"/>
      <c r="B27" s="382"/>
      <c r="C27" s="382"/>
      <c r="D27" s="380"/>
      <c r="E27" s="338"/>
      <c r="F27" s="332"/>
      <c r="G27" s="395">
        <f t="shared" si="0"/>
        <v>0</v>
      </c>
      <c r="H27" s="397"/>
      <c r="I27" s="395">
        <f t="shared" si="1"/>
        <v>0</v>
      </c>
      <c r="J27" s="395">
        <f t="shared" si="2"/>
        <v>0</v>
      </c>
      <c r="K27" s="338"/>
      <c r="L27" s="558"/>
      <c r="M27" s="341"/>
    </row>
    <row r="28" spans="1:13">
      <c r="A28" s="573"/>
      <c r="B28" s="382"/>
      <c r="C28" s="382"/>
      <c r="D28" s="380"/>
      <c r="E28" s="338"/>
      <c r="F28" s="332"/>
      <c r="G28" s="395">
        <f t="shared" si="0"/>
        <v>0</v>
      </c>
      <c r="H28" s="397"/>
      <c r="I28" s="395">
        <f t="shared" si="1"/>
        <v>0</v>
      </c>
      <c r="J28" s="395">
        <f t="shared" si="2"/>
        <v>0</v>
      </c>
      <c r="K28" s="338"/>
      <c r="L28" s="558"/>
      <c r="M28" s="341"/>
    </row>
    <row r="29" spans="1:13">
      <c r="A29" s="573"/>
      <c r="B29" s="382"/>
      <c r="C29" s="382"/>
      <c r="D29" s="380"/>
      <c r="E29" s="338"/>
      <c r="F29" s="332"/>
      <c r="G29" s="395">
        <f t="shared" si="0"/>
        <v>0</v>
      </c>
      <c r="H29" s="397"/>
      <c r="I29" s="395">
        <f t="shared" si="1"/>
        <v>0</v>
      </c>
      <c r="J29" s="395">
        <f t="shared" si="2"/>
        <v>0</v>
      </c>
      <c r="K29" s="338"/>
      <c r="L29" s="558"/>
      <c r="M29" s="341"/>
    </row>
    <row r="30" spans="1:13">
      <c r="A30" s="573"/>
      <c r="B30" s="382"/>
      <c r="C30" s="382"/>
      <c r="D30" s="380"/>
      <c r="E30" s="338"/>
      <c r="F30" s="332"/>
      <c r="G30" s="395">
        <f t="shared" si="0"/>
        <v>0</v>
      </c>
      <c r="H30" s="397"/>
      <c r="I30" s="395">
        <f t="shared" si="1"/>
        <v>0</v>
      </c>
      <c r="J30" s="395">
        <f t="shared" si="2"/>
        <v>0</v>
      </c>
      <c r="K30" s="338"/>
      <c r="L30" s="558"/>
      <c r="M30" s="341"/>
    </row>
    <row r="31" spans="1:13">
      <c r="A31" s="573"/>
      <c r="B31" s="382"/>
      <c r="C31" s="382"/>
      <c r="D31" s="380"/>
      <c r="E31" s="338"/>
      <c r="F31" s="332"/>
      <c r="G31" s="395">
        <f t="shared" si="0"/>
        <v>0</v>
      </c>
      <c r="H31" s="397"/>
      <c r="I31" s="395">
        <f t="shared" si="1"/>
        <v>0</v>
      </c>
      <c r="J31" s="395">
        <f t="shared" si="2"/>
        <v>0</v>
      </c>
      <c r="K31" s="338"/>
      <c r="L31" s="558"/>
      <c r="M31" s="341"/>
    </row>
    <row r="32" spans="1:13">
      <c r="A32" s="573"/>
      <c r="B32" s="382"/>
      <c r="C32" s="382"/>
      <c r="D32" s="380"/>
      <c r="E32" s="338"/>
      <c r="F32" s="332"/>
      <c r="G32" s="395">
        <f t="shared" si="0"/>
        <v>0</v>
      </c>
      <c r="H32" s="397"/>
      <c r="I32" s="395">
        <f t="shared" si="1"/>
        <v>0</v>
      </c>
      <c r="J32" s="395">
        <f t="shared" si="2"/>
        <v>0</v>
      </c>
      <c r="K32" s="338"/>
      <c r="L32" s="558"/>
      <c r="M32" s="341"/>
    </row>
    <row r="33" spans="1:13">
      <c r="A33" s="573"/>
      <c r="B33" s="382"/>
      <c r="C33" s="382"/>
      <c r="D33" s="380"/>
      <c r="E33" s="338"/>
      <c r="F33" s="332"/>
      <c r="G33" s="395">
        <f t="shared" si="0"/>
        <v>0</v>
      </c>
      <c r="H33" s="397"/>
      <c r="I33" s="395">
        <f t="shared" si="1"/>
        <v>0</v>
      </c>
      <c r="J33" s="395">
        <f t="shared" si="2"/>
        <v>0</v>
      </c>
      <c r="K33" s="338"/>
      <c r="L33" s="558"/>
      <c r="M33" s="341"/>
    </row>
    <row r="34" spans="1:13">
      <c r="A34" s="573"/>
      <c r="B34" s="382"/>
      <c r="C34" s="382"/>
      <c r="D34" s="380"/>
      <c r="E34" s="338"/>
      <c r="F34" s="332"/>
      <c r="G34" s="395">
        <f t="shared" si="0"/>
        <v>0</v>
      </c>
      <c r="H34" s="397"/>
      <c r="I34" s="395">
        <f t="shared" si="1"/>
        <v>0</v>
      </c>
      <c r="J34" s="395">
        <f t="shared" si="2"/>
        <v>0</v>
      </c>
      <c r="K34" s="338"/>
      <c r="L34" s="558"/>
      <c r="M34" s="341"/>
    </row>
    <row r="35" spans="1:13">
      <c r="A35" s="573"/>
      <c r="B35" s="382"/>
      <c r="C35" s="382"/>
      <c r="D35" s="380"/>
      <c r="E35" s="338"/>
      <c r="F35" s="332"/>
      <c r="G35" s="395">
        <f t="shared" si="0"/>
        <v>0</v>
      </c>
      <c r="H35" s="397"/>
      <c r="I35" s="395">
        <f t="shared" si="1"/>
        <v>0</v>
      </c>
      <c r="J35" s="395">
        <f t="shared" si="2"/>
        <v>0</v>
      </c>
      <c r="K35" s="338"/>
      <c r="L35" s="558"/>
      <c r="M35" s="341"/>
    </row>
    <row r="36" spans="1:13">
      <c r="A36" s="573"/>
      <c r="B36" s="382"/>
      <c r="C36" s="382"/>
      <c r="D36" s="380"/>
      <c r="E36" s="338"/>
      <c r="F36" s="332"/>
      <c r="G36" s="395">
        <f t="shared" si="0"/>
        <v>0</v>
      </c>
      <c r="H36" s="397"/>
      <c r="I36" s="395">
        <f t="shared" si="1"/>
        <v>0</v>
      </c>
      <c r="J36" s="395">
        <f t="shared" si="2"/>
        <v>0</v>
      </c>
      <c r="K36" s="338"/>
      <c r="L36" s="558"/>
      <c r="M36" s="341"/>
    </row>
    <row r="37" spans="1:13">
      <c r="A37" s="573"/>
      <c r="B37" s="382"/>
      <c r="C37" s="382"/>
      <c r="D37" s="380"/>
      <c r="E37" s="338"/>
      <c r="F37" s="332"/>
      <c r="G37" s="395">
        <f t="shared" si="0"/>
        <v>0</v>
      </c>
      <c r="H37" s="397"/>
      <c r="I37" s="395">
        <f t="shared" si="1"/>
        <v>0</v>
      </c>
      <c r="J37" s="395">
        <f t="shared" si="2"/>
        <v>0</v>
      </c>
      <c r="K37" s="338"/>
      <c r="L37" s="558"/>
      <c r="M37" s="341"/>
    </row>
    <row r="38" spans="1:13">
      <c r="A38" s="573"/>
      <c r="B38" s="382"/>
      <c r="C38" s="382"/>
      <c r="D38" s="380"/>
      <c r="E38" s="338"/>
      <c r="F38" s="332"/>
      <c r="G38" s="395">
        <f t="shared" si="0"/>
        <v>0</v>
      </c>
      <c r="H38" s="397"/>
      <c r="I38" s="395">
        <f t="shared" si="1"/>
        <v>0</v>
      </c>
      <c r="J38" s="395">
        <f t="shared" si="2"/>
        <v>0</v>
      </c>
      <c r="K38" s="338"/>
      <c r="L38" s="558"/>
      <c r="M38" s="341"/>
    </row>
    <row r="39" spans="1:13">
      <c r="A39" s="573"/>
      <c r="B39" s="380"/>
      <c r="C39" s="382"/>
      <c r="D39" s="380"/>
      <c r="E39" s="338"/>
      <c r="F39" s="332"/>
      <c r="G39" s="395">
        <f t="shared" si="0"/>
        <v>0</v>
      </c>
      <c r="H39" s="397"/>
      <c r="I39" s="395">
        <f t="shared" si="1"/>
        <v>0</v>
      </c>
      <c r="J39" s="395">
        <f t="shared" si="2"/>
        <v>0</v>
      </c>
      <c r="K39" s="338"/>
      <c r="L39" s="558"/>
      <c r="M39" s="341"/>
    </row>
    <row r="40" spans="1:13">
      <c r="A40" s="573"/>
      <c r="B40" s="382"/>
      <c r="C40" s="382"/>
      <c r="D40" s="380"/>
      <c r="E40" s="338"/>
      <c r="F40" s="332"/>
      <c r="G40" s="395">
        <f t="shared" si="0"/>
        <v>0</v>
      </c>
      <c r="H40" s="397"/>
      <c r="I40" s="395">
        <f t="shared" si="1"/>
        <v>0</v>
      </c>
      <c r="J40" s="395">
        <f t="shared" si="2"/>
        <v>0</v>
      </c>
      <c r="K40" s="338"/>
      <c r="L40" s="558"/>
      <c r="M40" s="341"/>
    </row>
    <row r="41" spans="1:13">
      <c r="A41" s="573"/>
      <c r="B41" s="382"/>
      <c r="C41" s="382"/>
      <c r="D41" s="380"/>
      <c r="E41" s="338"/>
      <c r="F41" s="332"/>
      <c r="G41" s="395">
        <f t="shared" si="0"/>
        <v>0</v>
      </c>
      <c r="H41" s="397"/>
      <c r="I41" s="395">
        <f t="shared" si="1"/>
        <v>0</v>
      </c>
      <c r="J41" s="395">
        <f t="shared" si="2"/>
        <v>0</v>
      </c>
      <c r="K41" s="338"/>
      <c r="L41" s="558"/>
      <c r="M41" s="341"/>
    </row>
    <row r="42" spans="1:13">
      <c r="A42" s="573"/>
      <c r="B42" s="382"/>
      <c r="C42" s="382"/>
      <c r="D42" s="380"/>
      <c r="E42" s="338"/>
      <c r="F42" s="332"/>
      <c r="G42" s="395">
        <f t="shared" si="0"/>
        <v>0</v>
      </c>
      <c r="H42" s="397"/>
      <c r="I42" s="395">
        <f t="shared" si="1"/>
        <v>0</v>
      </c>
      <c r="J42" s="395">
        <f t="shared" si="2"/>
        <v>0</v>
      </c>
      <c r="K42" s="338"/>
      <c r="L42" s="558"/>
      <c r="M42" s="341"/>
    </row>
    <row r="43" spans="1:13">
      <c r="A43" s="573"/>
      <c r="B43" s="382"/>
      <c r="C43" s="382"/>
      <c r="D43" s="380"/>
      <c r="E43" s="338"/>
      <c r="F43" s="332"/>
      <c r="G43" s="395">
        <f t="shared" si="0"/>
        <v>0</v>
      </c>
      <c r="H43" s="397"/>
      <c r="I43" s="395">
        <f t="shared" si="1"/>
        <v>0</v>
      </c>
      <c r="J43" s="395">
        <f t="shared" si="2"/>
        <v>0</v>
      </c>
      <c r="K43" s="338"/>
      <c r="L43" s="558"/>
      <c r="M43" s="341"/>
    </row>
    <row r="44" spans="1:13">
      <c r="A44" s="573"/>
      <c r="B44" s="382"/>
      <c r="C44" s="382"/>
      <c r="D44" s="380"/>
      <c r="E44" s="338"/>
      <c r="F44" s="332"/>
      <c r="G44" s="395">
        <f t="shared" si="0"/>
        <v>0</v>
      </c>
      <c r="H44" s="397"/>
      <c r="I44" s="395">
        <f t="shared" si="1"/>
        <v>0</v>
      </c>
      <c r="J44" s="395">
        <f t="shared" si="2"/>
        <v>0</v>
      </c>
      <c r="K44" s="338"/>
      <c r="L44" s="558"/>
      <c r="M44" s="341"/>
    </row>
    <row r="45" spans="1:13">
      <c r="A45" s="573"/>
      <c r="B45" s="382"/>
      <c r="C45" s="382"/>
      <c r="D45" s="380"/>
      <c r="E45" s="338"/>
      <c r="F45" s="332"/>
      <c r="G45" s="395">
        <f t="shared" si="0"/>
        <v>0</v>
      </c>
      <c r="H45" s="397"/>
      <c r="I45" s="395">
        <f t="shared" si="1"/>
        <v>0</v>
      </c>
      <c r="J45" s="395">
        <f t="shared" si="2"/>
        <v>0</v>
      </c>
      <c r="K45" s="338"/>
      <c r="L45" s="558"/>
      <c r="M45" s="341"/>
    </row>
    <row r="46" spans="1:13">
      <c r="A46" s="573"/>
      <c r="B46" s="382"/>
      <c r="C46" s="382"/>
      <c r="D46" s="380"/>
      <c r="E46" s="338"/>
      <c r="F46" s="332"/>
      <c r="G46" s="395">
        <f t="shared" si="0"/>
        <v>0</v>
      </c>
      <c r="H46" s="397"/>
      <c r="I46" s="395">
        <f t="shared" si="1"/>
        <v>0</v>
      </c>
      <c r="J46" s="395">
        <f t="shared" si="2"/>
        <v>0</v>
      </c>
      <c r="K46" s="338"/>
      <c r="L46" s="558"/>
      <c r="M46" s="341"/>
    </row>
    <row r="47" spans="1:13">
      <c r="A47" s="573"/>
      <c r="B47" s="382"/>
      <c r="C47" s="382"/>
      <c r="D47" s="380"/>
      <c r="E47" s="338"/>
      <c r="F47" s="345"/>
      <c r="G47" s="395">
        <f t="shared" si="0"/>
        <v>0</v>
      </c>
      <c r="H47" s="397"/>
      <c r="I47" s="395">
        <f t="shared" si="1"/>
        <v>0</v>
      </c>
      <c r="J47" s="395">
        <f t="shared" si="2"/>
        <v>0</v>
      </c>
      <c r="K47" s="338"/>
      <c r="L47" s="558"/>
      <c r="M47" s="341"/>
    </row>
    <row r="48" spans="1:13">
      <c r="A48" s="573"/>
      <c r="B48" s="382"/>
      <c r="C48" s="382"/>
      <c r="D48" s="380"/>
      <c r="E48" s="338"/>
      <c r="F48" s="332"/>
      <c r="G48" s="395">
        <f t="shared" si="0"/>
        <v>0</v>
      </c>
      <c r="H48" s="397"/>
      <c r="I48" s="395">
        <f t="shared" si="1"/>
        <v>0</v>
      </c>
      <c r="J48" s="395">
        <f t="shared" si="2"/>
        <v>0</v>
      </c>
      <c r="K48" s="338"/>
      <c r="L48" s="558"/>
      <c r="M48" s="341"/>
    </row>
    <row r="49" spans="1:13">
      <c r="A49" s="573"/>
      <c r="B49" s="382"/>
      <c r="C49" s="382"/>
      <c r="D49" s="380"/>
      <c r="E49" s="338"/>
      <c r="F49" s="345"/>
      <c r="G49" s="395">
        <f t="shared" si="0"/>
        <v>0</v>
      </c>
      <c r="H49" s="397"/>
      <c r="I49" s="395">
        <f t="shared" si="1"/>
        <v>0</v>
      </c>
      <c r="J49" s="395">
        <f t="shared" si="2"/>
        <v>0</v>
      </c>
      <c r="K49" s="338"/>
      <c r="L49" s="558"/>
      <c r="M49" s="341"/>
    </row>
    <row r="50" spans="1:13">
      <c r="A50" s="573"/>
      <c r="B50" s="382"/>
      <c r="C50" s="382"/>
      <c r="D50" s="380"/>
      <c r="E50" s="338"/>
      <c r="F50" s="332"/>
      <c r="G50" s="395">
        <f t="shared" si="0"/>
        <v>0</v>
      </c>
      <c r="H50" s="397"/>
      <c r="I50" s="395">
        <f t="shared" si="1"/>
        <v>0</v>
      </c>
      <c r="J50" s="395">
        <f t="shared" si="2"/>
        <v>0</v>
      </c>
      <c r="K50" s="338"/>
      <c r="L50" s="558"/>
      <c r="M50" s="341"/>
    </row>
    <row r="51" spans="1:13">
      <c r="A51" s="573"/>
      <c r="B51" s="382"/>
      <c r="C51" s="382"/>
      <c r="D51" s="380"/>
      <c r="E51" s="338"/>
      <c r="F51" s="332"/>
      <c r="G51" s="395">
        <f t="shared" si="0"/>
        <v>0</v>
      </c>
      <c r="H51" s="397"/>
      <c r="I51" s="395">
        <f t="shared" si="1"/>
        <v>0</v>
      </c>
      <c r="J51" s="395">
        <f t="shared" si="2"/>
        <v>0</v>
      </c>
      <c r="K51" s="338"/>
      <c r="L51" s="558"/>
      <c r="M51" s="341"/>
    </row>
    <row r="52" spans="1:13">
      <c r="A52" s="573"/>
      <c r="B52" s="382"/>
      <c r="C52" s="382"/>
      <c r="D52" s="380"/>
      <c r="E52" s="338"/>
      <c r="F52" s="332"/>
      <c r="G52" s="395">
        <f t="shared" si="0"/>
        <v>0</v>
      </c>
      <c r="H52" s="397"/>
      <c r="I52" s="395">
        <f t="shared" si="1"/>
        <v>0</v>
      </c>
      <c r="J52" s="395">
        <f t="shared" si="2"/>
        <v>0</v>
      </c>
      <c r="K52" s="338"/>
      <c r="L52" s="558"/>
      <c r="M52" s="341"/>
    </row>
    <row r="53" spans="1:13">
      <c r="A53" s="573"/>
      <c r="B53" s="382"/>
      <c r="C53" s="382"/>
      <c r="D53" s="380"/>
      <c r="E53" s="338"/>
      <c r="F53" s="332"/>
      <c r="G53" s="395">
        <f t="shared" si="0"/>
        <v>0</v>
      </c>
      <c r="H53" s="397"/>
      <c r="I53" s="395">
        <f t="shared" si="1"/>
        <v>0</v>
      </c>
      <c r="J53" s="395">
        <f t="shared" si="2"/>
        <v>0</v>
      </c>
      <c r="K53" s="338"/>
      <c r="L53" s="558"/>
      <c r="M53" s="341"/>
    </row>
    <row r="54" spans="1:13">
      <c r="A54" s="573"/>
      <c r="B54" s="382"/>
      <c r="C54" s="382"/>
      <c r="D54" s="380"/>
      <c r="E54" s="338"/>
      <c r="F54" s="332"/>
      <c r="G54" s="395">
        <f t="shared" si="0"/>
        <v>0</v>
      </c>
      <c r="H54" s="397"/>
      <c r="I54" s="395">
        <f t="shared" si="1"/>
        <v>0</v>
      </c>
      <c r="J54" s="395">
        <f t="shared" si="2"/>
        <v>0</v>
      </c>
      <c r="K54" s="338"/>
      <c r="L54" s="558"/>
      <c r="M54" s="341"/>
    </row>
    <row r="55" spans="1:13">
      <c r="A55" s="573"/>
      <c r="B55" s="382"/>
      <c r="C55" s="382"/>
      <c r="D55" s="380"/>
      <c r="E55" s="338"/>
      <c r="F55" s="332"/>
      <c r="G55" s="395">
        <f t="shared" si="0"/>
        <v>0</v>
      </c>
      <c r="H55" s="397"/>
      <c r="I55" s="395">
        <f t="shared" si="1"/>
        <v>0</v>
      </c>
      <c r="J55" s="395">
        <f t="shared" si="2"/>
        <v>0</v>
      </c>
      <c r="K55" s="338"/>
      <c r="L55" s="558"/>
      <c r="M55" s="341"/>
    </row>
    <row r="56" spans="1:13">
      <c r="A56" s="573"/>
      <c r="B56" s="382"/>
      <c r="C56" s="382"/>
      <c r="D56" s="380"/>
      <c r="E56" s="338"/>
      <c r="F56" s="332"/>
      <c r="G56" s="395">
        <f t="shared" si="0"/>
        <v>0</v>
      </c>
      <c r="H56" s="397"/>
      <c r="I56" s="395">
        <f t="shared" si="1"/>
        <v>0</v>
      </c>
      <c r="J56" s="395">
        <f t="shared" si="2"/>
        <v>0</v>
      </c>
      <c r="K56" s="338"/>
      <c r="L56" s="558"/>
      <c r="M56" s="341"/>
    </row>
    <row r="57" spans="1:13">
      <c r="A57" s="573"/>
      <c r="B57" s="382"/>
      <c r="C57" s="382"/>
      <c r="D57" s="380"/>
      <c r="E57" s="338"/>
      <c r="F57" s="332"/>
      <c r="G57" s="395">
        <f t="shared" si="0"/>
        <v>0</v>
      </c>
      <c r="H57" s="397"/>
      <c r="I57" s="395">
        <f t="shared" si="1"/>
        <v>0</v>
      </c>
      <c r="J57" s="395">
        <f t="shared" si="2"/>
        <v>0</v>
      </c>
      <c r="K57" s="338"/>
      <c r="L57" s="558"/>
      <c r="M57" s="341"/>
    </row>
    <row r="58" spans="1:13">
      <c r="A58" s="573"/>
      <c r="B58" s="382"/>
      <c r="C58" s="382"/>
      <c r="D58" s="380"/>
      <c r="E58" s="338"/>
      <c r="F58" s="332"/>
      <c r="G58" s="395">
        <f t="shared" si="0"/>
        <v>0</v>
      </c>
      <c r="H58" s="397"/>
      <c r="I58" s="395">
        <f t="shared" si="1"/>
        <v>0</v>
      </c>
      <c r="J58" s="395">
        <f t="shared" si="2"/>
        <v>0</v>
      </c>
      <c r="K58" s="338"/>
      <c r="L58" s="558"/>
      <c r="M58" s="341"/>
    </row>
    <row r="59" spans="1:13">
      <c r="A59" s="573"/>
      <c r="B59" s="382"/>
      <c r="C59" s="382"/>
      <c r="D59" s="380"/>
      <c r="E59" s="338"/>
      <c r="F59" s="332"/>
      <c r="G59" s="395">
        <f t="shared" si="0"/>
        <v>0</v>
      </c>
      <c r="H59" s="397"/>
      <c r="I59" s="395">
        <f t="shared" si="1"/>
        <v>0</v>
      </c>
      <c r="J59" s="395">
        <f t="shared" si="2"/>
        <v>0</v>
      </c>
      <c r="K59" s="338"/>
      <c r="L59" s="558"/>
      <c r="M59" s="341"/>
    </row>
    <row r="60" spans="1:13">
      <c r="A60" s="573"/>
      <c r="B60" s="382"/>
      <c r="C60" s="382"/>
      <c r="D60" s="380"/>
      <c r="E60" s="338"/>
      <c r="F60" s="332"/>
      <c r="G60" s="395">
        <f t="shared" si="0"/>
        <v>0</v>
      </c>
      <c r="H60" s="397"/>
      <c r="I60" s="395">
        <f t="shared" si="1"/>
        <v>0</v>
      </c>
      <c r="J60" s="395">
        <f t="shared" si="2"/>
        <v>0</v>
      </c>
      <c r="K60" s="338"/>
      <c r="L60" s="558"/>
      <c r="M60" s="341"/>
    </row>
    <row r="61" spans="1:13">
      <c r="A61" s="573"/>
      <c r="B61" s="382"/>
      <c r="C61" s="382"/>
      <c r="D61" s="380"/>
      <c r="E61" s="338"/>
      <c r="F61" s="332"/>
      <c r="G61" s="395">
        <f t="shared" si="0"/>
        <v>0</v>
      </c>
      <c r="H61" s="397"/>
      <c r="I61" s="395">
        <f t="shared" si="1"/>
        <v>0</v>
      </c>
      <c r="J61" s="395">
        <f t="shared" si="2"/>
        <v>0</v>
      </c>
      <c r="K61" s="338"/>
      <c r="L61" s="558"/>
      <c r="M61" s="341"/>
    </row>
    <row r="62" spans="1:13">
      <c r="A62" s="573"/>
      <c r="B62" s="382"/>
      <c r="C62" s="382"/>
      <c r="D62" s="380"/>
      <c r="E62" s="338"/>
      <c r="F62" s="332"/>
      <c r="G62" s="395">
        <f t="shared" si="0"/>
        <v>0</v>
      </c>
      <c r="H62" s="397"/>
      <c r="I62" s="395">
        <f t="shared" si="1"/>
        <v>0</v>
      </c>
      <c r="J62" s="395">
        <f t="shared" si="2"/>
        <v>0</v>
      </c>
      <c r="K62" s="338"/>
      <c r="L62" s="558"/>
      <c r="M62" s="341"/>
    </row>
    <row r="63" spans="1:13">
      <c r="A63" s="573"/>
      <c r="B63" s="382"/>
      <c r="C63" s="382"/>
      <c r="D63" s="380"/>
      <c r="E63" s="338"/>
      <c r="F63" s="332"/>
      <c r="G63" s="395">
        <f t="shared" si="0"/>
        <v>0</v>
      </c>
      <c r="H63" s="397"/>
      <c r="I63" s="395">
        <f t="shared" si="1"/>
        <v>0</v>
      </c>
      <c r="J63" s="395">
        <f t="shared" si="2"/>
        <v>0</v>
      </c>
      <c r="K63" s="338"/>
      <c r="L63" s="558"/>
      <c r="M63" s="341"/>
    </row>
    <row r="64" spans="1:13">
      <c r="A64" s="573"/>
      <c r="B64" s="382"/>
      <c r="C64" s="382"/>
      <c r="D64" s="380"/>
      <c r="E64" s="338"/>
      <c r="F64" s="332"/>
      <c r="G64" s="395">
        <f t="shared" si="0"/>
        <v>0</v>
      </c>
      <c r="H64" s="397"/>
      <c r="I64" s="395">
        <f t="shared" si="1"/>
        <v>0</v>
      </c>
      <c r="J64" s="395">
        <f t="shared" si="2"/>
        <v>0</v>
      </c>
      <c r="K64" s="338"/>
      <c r="L64" s="558"/>
      <c r="M64" s="341"/>
    </row>
    <row r="65" spans="1:13">
      <c r="A65" s="573"/>
      <c r="B65" s="382"/>
      <c r="C65" s="382"/>
      <c r="D65" s="380"/>
      <c r="E65" s="338"/>
      <c r="F65" s="332"/>
      <c r="G65" s="395">
        <f t="shared" si="0"/>
        <v>0</v>
      </c>
      <c r="H65" s="397"/>
      <c r="I65" s="395">
        <f t="shared" si="1"/>
        <v>0</v>
      </c>
      <c r="J65" s="395">
        <f t="shared" si="2"/>
        <v>0</v>
      </c>
      <c r="K65" s="338"/>
      <c r="L65" s="558"/>
      <c r="M65" s="341"/>
    </row>
    <row r="66" spans="1:13">
      <c r="A66" s="573"/>
      <c r="B66" s="382"/>
      <c r="C66" s="382"/>
      <c r="D66" s="380"/>
      <c r="E66" s="338"/>
      <c r="F66" s="332"/>
      <c r="G66" s="395">
        <f t="shared" si="0"/>
        <v>0</v>
      </c>
      <c r="H66" s="397"/>
      <c r="I66" s="395">
        <f t="shared" si="1"/>
        <v>0</v>
      </c>
      <c r="J66" s="395">
        <f t="shared" si="2"/>
        <v>0</v>
      </c>
      <c r="K66" s="338"/>
      <c r="L66" s="558"/>
      <c r="M66" s="341"/>
    </row>
    <row r="67" spans="1:13">
      <c r="A67" s="573"/>
      <c r="B67" s="382"/>
      <c r="C67" s="382"/>
      <c r="D67" s="380"/>
      <c r="E67" s="338"/>
      <c r="F67" s="332"/>
      <c r="G67" s="395">
        <f t="shared" si="0"/>
        <v>0</v>
      </c>
      <c r="H67" s="397"/>
      <c r="I67" s="395">
        <f t="shared" si="1"/>
        <v>0</v>
      </c>
      <c r="J67" s="395">
        <f t="shared" si="2"/>
        <v>0</v>
      </c>
      <c r="K67" s="338"/>
      <c r="L67" s="558"/>
      <c r="M67" s="341"/>
    </row>
    <row r="68" spans="1:13">
      <c r="A68" s="573"/>
      <c r="B68" s="382"/>
      <c r="C68" s="382"/>
      <c r="D68" s="380"/>
      <c r="E68" s="338"/>
      <c r="F68" s="332"/>
      <c r="G68" s="395">
        <f t="shared" si="0"/>
        <v>0</v>
      </c>
      <c r="H68" s="397"/>
      <c r="I68" s="395">
        <f t="shared" si="1"/>
        <v>0</v>
      </c>
      <c r="J68" s="395">
        <f t="shared" si="2"/>
        <v>0</v>
      </c>
      <c r="K68" s="338"/>
      <c r="L68" s="558"/>
      <c r="M68" s="341"/>
    </row>
    <row r="69" spans="1:13">
      <c r="A69" s="573"/>
      <c r="B69" s="380"/>
      <c r="C69" s="382"/>
      <c r="D69" s="380"/>
      <c r="E69" s="338"/>
      <c r="F69" s="332"/>
      <c r="G69" s="395">
        <f t="shared" si="0"/>
        <v>0</v>
      </c>
      <c r="H69" s="397"/>
      <c r="I69" s="395">
        <f t="shared" si="1"/>
        <v>0</v>
      </c>
      <c r="J69" s="395">
        <f t="shared" si="2"/>
        <v>0</v>
      </c>
      <c r="K69" s="338"/>
      <c r="L69" s="558"/>
      <c r="M69" s="341"/>
    </row>
    <row r="70" spans="1:13">
      <c r="A70" s="573"/>
      <c r="B70" s="380"/>
      <c r="C70" s="382"/>
      <c r="D70" s="380"/>
      <c r="E70" s="338"/>
      <c r="F70" s="332"/>
      <c r="G70" s="395">
        <f t="shared" si="0"/>
        <v>0</v>
      </c>
      <c r="H70" s="397"/>
      <c r="I70" s="395">
        <f t="shared" si="1"/>
        <v>0</v>
      </c>
      <c r="J70" s="395">
        <f t="shared" si="2"/>
        <v>0</v>
      </c>
      <c r="K70" s="338"/>
      <c r="L70" s="558"/>
      <c r="M70" s="341"/>
    </row>
    <row r="71" spans="1:13">
      <c r="A71" s="573"/>
      <c r="B71" s="380"/>
      <c r="C71" s="382"/>
      <c r="D71" s="380"/>
      <c r="E71" s="338"/>
      <c r="F71" s="332"/>
      <c r="G71" s="395">
        <f t="shared" si="0"/>
        <v>0</v>
      </c>
      <c r="H71" s="397"/>
      <c r="I71" s="395">
        <f t="shared" si="1"/>
        <v>0</v>
      </c>
      <c r="J71" s="395">
        <f t="shared" si="2"/>
        <v>0</v>
      </c>
      <c r="K71" s="338"/>
      <c r="L71" s="558"/>
      <c r="M71" s="341"/>
    </row>
    <row r="72" spans="1:13">
      <c r="A72" s="573"/>
      <c r="B72" s="380"/>
      <c r="C72" s="382"/>
      <c r="D72" s="380"/>
      <c r="E72" s="338"/>
      <c r="F72" s="332"/>
      <c r="G72" s="395">
        <f t="shared" si="0"/>
        <v>0</v>
      </c>
      <c r="H72" s="397"/>
      <c r="I72" s="395">
        <f t="shared" si="1"/>
        <v>0</v>
      </c>
      <c r="J72" s="395">
        <f t="shared" si="2"/>
        <v>0</v>
      </c>
      <c r="K72" s="338"/>
      <c r="L72" s="558"/>
      <c r="M72" s="341"/>
    </row>
    <row r="73" spans="1:13">
      <c r="A73" s="573"/>
      <c r="B73" s="380"/>
      <c r="C73" s="382"/>
      <c r="D73" s="380"/>
      <c r="E73" s="338"/>
      <c r="F73" s="332"/>
      <c r="G73" s="395">
        <f t="shared" si="0"/>
        <v>0</v>
      </c>
      <c r="H73" s="397"/>
      <c r="I73" s="395">
        <f t="shared" si="1"/>
        <v>0</v>
      </c>
      <c r="J73" s="395">
        <f t="shared" si="2"/>
        <v>0</v>
      </c>
      <c r="K73" s="338"/>
      <c r="L73" s="574"/>
      <c r="M73" s="341"/>
    </row>
    <row r="74" spans="1:13">
      <c r="A74" s="573"/>
      <c r="B74" s="382"/>
      <c r="C74" s="382"/>
      <c r="D74" s="380"/>
      <c r="E74" s="338"/>
      <c r="F74" s="332"/>
      <c r="G74" s="395">
        <f t="shared" si="0"/>
        <v>0</v>
      </c>
      <c r="H74" s="397"/>
      <c r="I74" s="395">
        <f t="shared" si="1"/>
        <v>0</v>
      </c>
      <c r="J74" s="395">
        <f t="shared" si="2"/>
        <v>0</v>
      </c>
      <c r="K74" s="338"/>
      <c r="L74" s="558"/>
      <c r="M74" s="341"/>
    </row>
    <row r="75" spans="1:13">
      <c r="A75" s="573"/>
      <c r="B75" s="382"/>
      <c r="C75" s="382"/>
      <c r="D75" s="380"/>
      <c r="E75" s="338"/>
      <c r="F75" s="332"/>
      <c r="G75" s="395">
        <f t="shared" si="0"/>
        <v>0</v>
      </c>
      <c r="H75" s="397"/>
      <c r="I75" s="395">
        <f t="shared" si="1"/>
        <v>0</v>
      </c>
      <c r="J75" s="395">
        <f t="shared" si="2"/>
        <v>0</v>
      </c>
      <c r="K75" s="338"/>
      <c r="L75" s="558"/>
      <c r="M75" s="341"/>
    </row>
    <row r="76" spans="1:13">
      <c r="A76" s="573"/>
      <c r="B76" s="382"/>
      <c r="C76" s="382"/>
      <c r="D76" s="380"/>
      <c r="E76" s="338"/>
      <c r="F76" s="332"/>
      <c r="G76" s="395">
        <f t="shared" si="0"/>
        <v>0</v>
      </c>
      <c r="H76" s="397"/>
      <c r="I76" s="395">
        <f t="shared" si="1"/>
        <v>0</v>
      </c>
      <c r="J76" s="395">
        <f t="shared" si="2"/>
        <v>0</v>
      </c>
      <c r="K76" s="338"/>
      <c r="L76" s="558"/>
      <c r="M76" s="341"/>
    </row>
    <row r="77" spans="1:13">
      <c r="A77" s="573"/>
      <c r="B77" s="382"/>
      <c r="C77" s="382"/>
      <c r="D77" s="380"/>
      <c r="E77" s="338"/>
      <c r="F77" s="332"/>
      <c r="G77" s="395">
        <f t="shared" si="0"/>
        <v>0</v>
      </c>
      <c r="H77" s="397"/>
      <c r="I77" s="395">
        <f t="shared" si="1"/>
        <v>0</v>
      </c>
      <c r="J77" s="395">
        <f t="shared" si="2"/>
        <v>0</v>
      </c>
      <c r="K77" s="338"/>
      <c r="L77" s="558"/>
      <c r="M77" s="341"/>
    </row>
    <row r="78" spans="1:13">
      <c r="A78" s="573"/>
      <c r="B78" s="382"/>
      <c r="C78" s="382"/>
      <c r="D78" s="380"/>
      <c r="E78" s="338"/>
      <c r="F78" s="332"/>
      <c r="G78" s="395">
        <f t="shared" si="0"/>
        <v>0</v>
      </c>
      <c r="H78" s="397"/>
      <c r="I78" s="395">
        <f t="shared" si="1"/>
        <v>0</v>
      </c>
      <c r="J78" s="395">
        <f t="shared" si="2"/>
        <v>0</v>
      </c>
      <c r="K78" s="338"/>
      <c r="L78" s="558"/>
      <c r="M78" s="341"/>
    </row>
    <row r="79" spans="1:13">
      <c r="A79" s="573"/>
      <c r="B79" s="382"/>
      <c r="C79" s="382"/>
      <c r="D79" s="380"/>
      <c r="E79" s="338"/>
      <c r="F79" s="332"/>
      <c r="G79" s="395">
        <f t="shared" si="0"/>
        <v>0</v>
      </c>
      <c r="H79" s="397"/>
      <c r="I79" s="395">
        <f t="shared" si="1"/>
        <v>0</v>
      </c>
      <c r="J79" s="395">
        <f t="shared" si="2"/>
        <v>0</v>
      </c>
      <c r="K79" s="338"/>
      <c r="L79" s="558"/>
      <c r="M79" s="341"/>
    </row>
    <row r="80" spans="1:13">
      <c r="A80" s="573"/>
      <c r="B80" s="382"/>
      <c r="C80" s="382"/>
      <c r="D80" s="380"/>
      <c r="E80" s="338"/>
      <c r="F80" s="332"/>
      <c r="G80" s="395">
        <f t="shared" si="0"/>
        <v>0</v>
      </c>
      <c r="H80" s="397"/>
      <c r="I80" s="395">
        <f t="shared" si="1"/>
        <v>0</v>
      </c>
      <c r="J80" s="395">
        <f t="shared" si="2"/>
        <v>0</v>
      </c>
      <c r="K80" s="338"/>
      <c r="L80" s="558"/>
      <c r="M80" s="341"/>
    </row>
    <row r="81" spans="1:13">
      <c r="A81" s="573"/>
      <c r="B81" s="382"/>
      <c r="C81" s="382"/>
      <c r="D81" s="380"/>
      <c r="E81" s="338"/>
      <c r="F81" s="332"/>
      <c r="G81" s="395">
        <f t="shared" si="0"/>
        <v>0</v>
      </c>
      <c r="H81" s="397"/>
      <c r="I81" s="395">
        <f t="shared" si="1"/>
        <v>0</v>
      </c>
      <c r="J81" s="395">
        <f t="shared" si="2"/>
        <v>0</v>
      </c>
      <c r="K81" s="338"/>
      <c r="L81" s="558"/>
      <c r="M81" s="341"/>
    </row>
    <row r="82" spans="1:13">
      <c r="A82" s="573"/>
      <c r="B82" s="382"/>
      <c r="C82" s="382"/>
      <c r="D82" s="380"/>
      <c r="E82" s="338"/>
      <c r="F82" s="332"/>
      <c r="G82" s="395">
        <f t="shared" si="0"/>
        <v>0</v>
      </c>
      <c r="H82" s="397"/>
      <c r="I82" s="395">
        <f t="shared" si="1"/>
        <v>0</v>
      </c>
      <c r="J82" s="395">
        <f t="shared" si="2"/>
        <v>0</v>
      </c>
      <c r="K82" s="338"/>
      <c r="L82" s="558"/>
      <c r="M82" s="341"/>
    </row>
    <row r="83" spans="1:13">
      <c r="A83" s="573"/>
      <c r="B83" s="382"/>
      <c r="C83" s="382"/>
      <c r="D83" s="380"/>
      <c r="E83" s="338"/>
      <c r="F83" s="332"/>
      <c r="G83" s="395">
        <f t="shared" si="0"/>
        <v>0</v>
      </c>
      <c r="H83" s="397"/>
      <c r="I83" s="395">
        <f t="shared" si="1"/>
        <v>0</v>
      </c>
      <c r="J83" s="395">
        <f t="shared" si="2"/>
        <v>0</v>
      </c>
      <c r="K83" s="338"/>
      <c r="L83" s="558"/>
      <c r="M83" s="341"/>
    </row>
    <row r="84" spans="1:13">
      <c r="A84" s="573"/>
      <c r="B84" s="382"/>
      <c r="C84" s="382"/>
      <c r="D84" s="380"/>
      <c r="E84" s="338"/>
      <c r="F84" s="332"/>
      <c r="G84" s="395">
        <f t="shared" si="0"/>
        <v>0</v>
      </c>
      <c r="H84" s="397"/>
      <c r="I84" s="395">
        <f t="shared" si="1"/>
        <v>0</v>
      </c>
      <c r="J84" s="395">
        <f t="shared" si="2"/>
        <v>0</v>
      </c>
      <c r="K84" s="338"/>
      <c r="L84" s="558"/>
      <c r="M84" s="341"/>
    </row>
    <row r="85" spans="1:13">
      <c r="A85" s="573"/>
      <c r="B85" s="382"/>
      <c r="C85" s="382"/>
      <c r="D85" s="380"/>
      <c r="E85" s="338"/>
      <c r="F85" s="332"/>
      <c r="G85" s="395">
        <f t="shared" si="0"/>
        <v>0</v>
      </c>
      <c r="H85" s="397"/>
      <c r="I85" s="395">
        <f t="shared" si="1"/>
        <v>0</v>
      </c>
      <c r="J85" s="395">
        <f t="shared" si="2"/>
        <v>0</v>
      </c>
      <c r="K85" s="338"/>
      <c r="L85" s="558"/>
      <c r="M85" s="341"/>
    </row>
    <row r="86" spans="1:13">
      <c r="A86" s="573"/>
      <c r="B86" s="382"/>
      <c r="C86" s="382"/>
      <c r="D86" s="380"/>
      <c r="E86" s="338"/>
      <c r="F86" s="332"/>
      <c r="G86" s="395">
        <f t="shared" si="0"/>
        <v>0</v>
      </c>
      <c r="H86" s="397"/>
      <c r="I86" s="395">
        <f t="shared" si="1"/>
        <v>0</v>
      </c>
      <c r="J86" s="395">
        <f t="shared" si="2"/>
        <v>0</v>
      </c>
      <c r="K86" s="338"/>
      <c r="L86" s="558"/>
      <c r="M86" s="341"/>
    </row>
    <row r="87" spans="1:13">
      <c r="A87" s="573"/>
      <c r="B87" s="382"/>
      <c r="C87" s="382"/>
      <c r="D87" s="380"/>
      <c r="E87" s="338"/>
      <c r="F87" s="332"/>
      <c r="G87" s="395">
        <f t="shared" si="0"/>
        <v>0</v>
      </c>
      <c r="H87" s="397"/>
      <c r="I87" s="395">
        <f t="shared" si="1"/>
        <v>0</v>
      </c>
      <c r="J87" s="395">
        <f t="shared" si="2"/>
        <v>0</v>
      </c>
      <c r="K87" s="338"/>
      <c r="L87" s="558"/>
      <c r="M87" s="341"/>
    </row>
    <row r="88" spans="1:13">
      <c r="A88" s="573"/>
      <c r="B88" s="380"/>
      <c r="C88" s="382"/>
      <c r="D88" s="380"/>
      <c r="E88" s="338"/>
      <c r="F88" s="332"/>
      <c r="G88" s="395">
        <f t="shared" si="0"/>
        <v>0</v>
      </c>
      <c r="H88" s="397"/>
      <c r="I88" s="395">
        <f t="shared" si="1"/>
        <v>0</v>
      </c>
      <c r="J88" s="395">
        <f t="shared" si="2"/>
        <v>0</v>
      </c>
      <c r="K88" s="338"/>
      <c r="L88" s="558"/>
      <c r="M88" s="341"/>
    </row>
    <row r="89" spans="1:13">
      <c r="A89" s="573"/>
      <c r="B89" s="380"/>
      <c r="C89" s="382"/>
      <c r="D89" s="380"/>
      <c r="E89" s="338"/>
      <c r="F89" s="332"/>
      <c r="G89" s="395">
        <f t="shared" si="0"/>
        <v>0</v>
      </c>
      <c r="H89" s="397"/>
      <c r="I89" s="395">
        <f t="shared" si="1"/>
        <v>0</v>
      </c>
      <c r="J89" s="395">
        <f t="shared" si="2"/>
        <v>0</v>
      </c>
      <c r="K89" s="338"/>
      <c r="L89" s="558"/>
      <c r="M89" s="341"/>
    </row>
    <row r="90" spans="1:13">
      <c r="A90" s="573"/>
      <c r="B90" s="382"/>
      <c r="C90" s="382"/>
      <c r="D90" s="380"/>
      <c r="E90" s="338"/>
      <c r="F90" s="332"/>
      <c r="G90" s="395">
        <f t="shared" si="0"/>
        <v>0</v>
      </c>
      <c r="H90" s="397"/>
      <c r="I90" s="395">
        <f t="shared" si="1"/>
        <v>0</v>
      </c>
      <c r="J90" s="395">
        <f t="shared" si="2"/>
        <v>0</v>
      </c>
      <c r="K90" s="338"/>
      <c r="L90" s="558"/>
      <c r="M90" s="341"/>
    </row>
    <row r="91" spans="1:13">
      <c r="A91" s="573"/>
      <c r="B91" s="382"/>
      <c r="C91" s="382"/>
      <c r="D91" s="380"/>
      <c r="E91" s="338"/>
      <c r="F91" s="332"/>
      <c r="G91" s="395">
        <f t="shared" si="0"/>
        <v>0</v>
      </c>
      <c r="H91" s="397"/>
      <c r="I91" s="395">
        <f t="shared" si="1"/>
        <v>0</v>
      </c>
      <c r="J91" s="395">
        <f t="shared" si="2"/>
        <v>0</v>
      </c>
      <c r="K91" s="338"/>
      <c r="L91" s="558"/>
      <c r="M91" s="341"/>
    </row>
    <row r="92" spans="1:13">
      <c r="A92" s="573"/>
      <c r="B92" s="382"/>
      <c r="C92" s="382"/>
      <c r="D92" s="380"/>
      <c r="E92" s="338"/>
      <c r="F92" s="332"/>
      <c r="G92" s="395">
        <f t="shared" si="0"/>
        <v>0</v>
      </c>
      <c r="H92" s="397"/>
      <c r="I92" s="395">
        <f t="shared" si="1"/>
        <v>0</v>
      </c>
      <c r="J92" s="395">
        <f t="shared" si="2"/>
        <v>0</v>
      </c>
      <c r="K92" s="338"/>
      <c r="L92" s="558"/>
      <c r="M92" s="341"/>
    </row>
    <row r="93" spans="1:13">
      <c r="A93" s="573"/>
      <c r="B93" s="382"/>
      <c r="C93" s="382"/>
      <c r="D93" s="380"/>
      <c r="E93" s="338"/>
      <c r="F93" s="332"/>
      <c r="G93" s="395">
        <f t="shared" si="0"/>
        <v>0</v>
      </c>
      <c r="H93" s="397"/>
      <c r="I93" s="395">
        <f t="shared" si="1"/>
        <v>0</v>
      </c>
      <c r="J93" s="395">
        <f t="shared" si="2"/>
        <v>0</v>
      </c>
      <c r="K93" s="338"/>
      <c r="L93" s="558"/>
      <c r="M93" s="341"/>
    </row>
    <row r="94" spans="1:13">
      <c r="A94" s="573"/>
      <c r="B94" s="382"/>
      <c r="C94" s="382"/>
      <c r="D94" s="380"/>
      <c r="E94" s="338"/>
      <c r="F94" s="332"/>
      <c r="G94" s="395">
        <f t="shared" si="0"/>
        <v>0</v>
      </c>
      <c r="H94" s="397"/>
      <c r="I94" s="395">
        <f t="shared" si="1"/>
        <v>0</v>
      </c>
      <c r="J94" s="395">
        <f t="shared" si="2"/>
        <v>0</v>
      </c>
      <c r="K94" s="338"/>
      <c r="L94" s="558"/>
      <c r="M94" s="341"/>
    </row>
    <row r="95" spans="1:13">
      <c r="A95" s="573"/>
      <c r="B95" s="382"/>
      <c r="C95" s="382"/>
      <c r="D95" s="380"/>
      <c r="E95" s="338"/>
      <c r="F95" s="332"/>
      <c r="G95" s="395">
        <f t="shared" si="0"/>
        <v>0</v>
      </c>
      <c r="H95" s="397"/>
      <c r="I95" s="395">
        <f t="shared" si="1"/>
        <v>0</v>
      </c>
      <c r="J95" s="395">
        <f t="shared" si="2"/>
        <v>0</v>
      </c>
      <c r="K95" s="338"/>
      <c r="L95" s="558"/>
      <c r="M95" s="341"/>
    </row>
    <row r="96" spans="1:13">
      <c r="A96" s="573"/>
      <c r="B96" s="382"/>
      <c r="C96" s="382"/>
      <c r="D96" s="380"/>
      <c r="E96" s="338"/>
      <c r="F96" s="332"/>
      <c r="G96" s="395">
        <f t="shared" si="0"/>
        <v>0</v>
      </c>
      <c r="H96" s="397"/>
      <c r="I96" s="395">
        <f t="shared" si="1"/>
        <v>0</v>
      </c>
      <c r="J96" s="395">
        <f t="shared" si="2"/>
        <v>0</v>
      </c>
      <c r="K96" s="338"/>
      <c r="L96" s="558"/>
      <c r="M96" s="341"/>
    </row>
    <row r="97" spans="1:13">
      <c r="A97" s="573"/>
      <c r="B97" s="382"/>
      <c r="C97" s="382"/>
      <c r="D97" s="380"/>
      <c r="E97" s="338"/>
      <c r="F97" s="332"/>
      <c r="G97" s="395">
        <f t="shared" si="0"/>
        <v>0</v>
      </c>
      <c r="H97" s="397"/>
      <c r="I97" s="395">
        <f t="shared" si="1"/>
        <v>0</v>
      </c>
      <c r="J97" s="395">
        <f t="shared" si="2"/>
        <v>0</v>
      </c>
      <c r="K97" s="338"/>
      <c r="L97" s="558"/>
      <c r="M97" s="341"/>
    </row>
    <row r="98" spans="1:13">
      <c r="A98" s="573"/>
      <c r="B98" s="382"/>
      <c r="C98" s="382"/>
      <c r="D98" s="380"/>
      <c r="E98" s="338"/>
      <c r="F98" s="332"/>
      <c r="G98" s="395">
        <f t="shared" si="0"/>
        <v>0</v>
      </c>
      <c r="H98" s="397"/>
      <c r="I98" s="395">
        <f t="shared" si="1"/>
        <v>0</v>
      </c>
      <c r="J98" s="395">
        <f t="shared" si="2"/>
        <v>0</v>
      </c>
      <c r="K98" s="338"/>
      <c r="L98" s="558"/>
      <c r="M98" s="341"/>
    </row>
    <row r="99" spans="1:13">
      <c r="A99" s="573"/>
      <c r="B99" s="382"/>
      <c r="C99" s="382"/>
      <c r="D99" s="380"/>
      <c r="E99" s="338"/>
      <c r="F99" s="332"/>
      <c r="G99" s="395">
        <f t="shared" si="0"/>
        <v>0</v>
      </c>
      <c r="H99" s="397"/>
      <c r="I99" s="395">
        <f t="shared" si="1"/>
        <v>0</v>
      </c>
      <c r="J99" s="395">
        <f t="shared" si="2"/>
        <v>0</v>
      </c>
      <c r="K99" s="338"/>
      <c r="L99" s="574"/>
      <c r="M99" s="341"/>
    </row>
    <row r="100" spans="1:13">
      <c r="A100" s="573"/>
      <c r="B100" s="382"/>
      <c r="C100" s="382"/>
      <c r="D100" s="380"/>
      <c r="E100" s="338"/>
      <c r="F100" s="332"/>
      <c r="G100" s="395">
        <f t="shared" si="0"/>
        <v>0</v>
      </c>
      <c r="H100" s="397"/>
      <c r="I100" s="395">
        <f t="shared" si="1"/>
        <v>0</v>
      </c>
      <c r="J100" s="395">
        <f t="shared" si="2"/>
        <v>0</v>
      </c>
      <c r="K100" s="338"/>
      <c r="L100" s="558"/>
      <c r="M100" s="341"/>
    </row>
    <row r="101" spans="1:13">
      <c r="A101" s="573"/>
      <c r="B101" s="382"/>
      <c r="C101" s="382"/>
      <c r="D101" s="380"/>
      <c r="E101" s="338"/>
      <c r="F101" s="345"/>
      <c r="G101" s="395">
        <f t="shared" si="0"/>
        <v>0</v>
      </c>
      <c r="H101" s="397"/>
      <c r="I101" s="395">
        <f t="shared" si="1"/>
        <v>0</v>
      </c>
      <c r="J101" s="395">
        <f t="shared" si="2"/>
        <v>0</v>
      </c>
      <c r="K101" s="338"/>
      <c r="L101" s="558"/>
      <c r="M101" s="341"/>
    </row>
    <row r="102" spans="1:13">
      <c r="A102" s="573"/>
      <c r="B102" s="382"/>
      <c r="C102" s="382"/>
      <c r="D102" s="380"/>
      <c r="E102" s="338"/>
      <c r="F102" s="332"/>
      <c r="G102" s="395">
        <f t="shared" si="0"/>
        <v>0</v>
      </c>
      <c r="H102" s="397"/>
      <c r="I102" s="395">
        <f t="shared" si="1"/>
        <v>0</v>
      </c>
      <c r="J102" s="395">
        <f t="shared" si="2"/>
        <v>0</v>
      </c>
      <c r="K102" s="338"/>
      <c r="L102" s="558"/>
      <c r="M102" s="341"/>
    </row>
    <row r="103" spans="1:13">
      <c r="A103" s="573"/>
      <c r="B103" s="382"/>
      <c r="C103" s="382"/>
      <c r="D103" s="380"/>
      <c r="E103" s="338"/>
      <c r="F103" s="332"/>
      <c r="G103" s="395">
        <f t="shared" si="0"/>
        <v>0</v>
      </c>
      <c r="H103" s="397"/>
      <c r="I103" s="395">
        <f t="shared" si="1"/>
        <v>0</v>
      </c>
      <c r="J103" s="395">
        <f t="shared" si="2"/>
        <v>0</v>
      </c>
      <c r="K103" s="338"/>
      <c r="L103" s="558"/>
      <c r="M103" s="341"/>
    </row>
    <row r="104" spans="1:13">
      <c r="A104" s="573"/>
      <c r="B104" s="382"/>
      <c r="C104" s="382"/>
      <c r="D104" s="380"/>
      <c r="E104" s="338"/>
      <c r="F104" s="332"/>
      <c r="G104" s="395">
        <f t="shared" si="0"/>
        <v>0</v>
      </c>
      <c r="H104" s="397"/>
      <c r="I104" s="395">
        <f t="shared" si="1"/>
        <v>0</v>
      </c>
      <c r="J104" s="395">
        <f t="shared" si="2"/>
        <v>0</v>
      </c>
      <c r="K104" s="338"/>
      <c r="L104" s="558"/>
      <c r="M104" s="341"/>
    </row>
    <row r="105" spans="1:13">
      <c r="A105" s="573"/>
      <c r="B105" s="382"/>
      <c r="C105" s="382"/>
      <c r="D105" s="380"/>
      <c r="E105" s="338"/>
      <c r="F105" s="332"/>
      <c r="G105" s="395">
        <f t="shared" si="0"/>
        <v>0</v>
      </c>
      <c r="H105" s="397"/>
      <c r="I105" s="395">
        <f t="shared" si="1"/>
        <v>0</v>
      </c>
      <c r="J105" s="395">
        <f t="shared" si="2"/>
        <v>0</v>
      </c>
      <c r="K105" s="338"/>
      <c r="L105" s="558"/>
      <c r="M105" s="341"/>
    </row>
    <row r="106" spans="1:13">
      <c r="A106" s="573"/>
      <c r="B106" s="382"/>
      <c r="C106" s="382"/>
      <c r="D106" s="380"/>
      <c r="E106" s="338"/>
      <c r="F106" s="332"/>
      <c r="G106" s="395">
        <f t="shared" si="0"/>
        <v>0</v>
      </c>
      <c r="H106" s="397"/>
      <c r="I106" s="395">
        <f t="shared" si="1"/>
        <v>0</v>
      </c>
      <c r="J106" s="395">
        <f t="shared" si="2"/>
        <v>0</v>
      </c>
      <c r="K106" s="338"/>
      <c r="L106" s="558"/>
      <c r="M106" s="341"/>
    </row>
    <row r="107" spans="1:13">
      <c r="A107" s="573"/>
      <c r="B107" s="382"/>
      <c r="C107" s="382"/>
      <c r="D107" s="500"/>
      <c r="E107" s="338"/>
      <c r="F107" s="332"/>
      <c r="G107" s="395">
        <f t="shared" si="0"/>
        <v>0</v>
      </c>
      <c r="H107" s="397"/>
      <c r="I107" s="395">
        <f t="shared" si="1"/>
        <v>0</v>
      </c>
      <c r="J107" s="395">
        <f t="shared" si="2"/>
        <v>0</v>
      </c>
      <c r="K107" s="338"/>
      <c r="L107" s="558"/>
      <c r="M107" s="341"/>
    </row>
    <row r="108" spans="1:13">
      <c r="A108" s="573"/>
      <c r="B108" s="382"/>
      <c r="C108" s="382"/>
      <c r="D108" s="380"/>
      <c r="E108" s="338"/>
      <c r="F108" s="332"/>
      <c r="G108" s="395">
        <f t="shared" si="0"/>
        <v>0</v>
      </c>
      <c r="H108" s="397"/>
      <c r="I108" s="395">
        <f t="shared" si="1"/>
        <v>0</v>
      </c>
      <c r="J108" s="395">
        <f t="shared" si="2"/>
        <v>0</v>
      </c>
      <c r="K108" s="338"/>
      <c r="L108" s="558"/>
      <c r="M108" s="341"/>
    </row>
    <row r="109" spans="1:13">
      <c r="A109" s="573"/>
      <c r="B109" s="382"/>
      <c r="C109" s="382"/>
      <c r="D109" s="380"/>
      <c r="E109" s="338"/>
      <c r="F109" s="332"/>
      <c r="G109" s="395">
        <f t="shared" si="0"/>
        <v>0</v>
      </c>
      <c r="H109" s="397"/>
      <c r="I109" s="395">
        <f t="shared" si="1"/>
        <v>0</v>
      </c>
      <c r="J109" s="395">
        <f t="shared" si="2"/>
        <v>0</v>
      </c>
      <c r="K109" s="338"/>
      <c r="L109" s="558"/>
      <c r="M109" s="341"/>
    </row>
    <row r="110" spans="1:13">
      <c r="A110" s="573"/>
      <c r="B110" s="382"/>
      <c r="C110" s="382"/>
      <c r="D110" s="380"/>
      <c r="E110" s="338"/>
      <c r="F110" s="332"/>
      <c r="G110" s="395">
        <f t="shared" si="0"/>
        <v>0</v>
      </c>
      <c r="H110" s="397"/>
      <c r="I110" s="395">
        <f t="shared" si="1"/>
        <v>0</v>
      </c>
      <c r="J110" s="395">
        <f t="shared" si="2"/>
        <v>0</v>
      </c>
      <c r="K110" s="338"/>
      <c r="L110" s="558"/>
      <c r="M110" s="341"/>
    </row>
    <row r="111" spans="1:13">
      <c r="A111" s="573"/>
      <c r="B111" s="382"/>
      <c r="C111" s="382"/>
      <c r="D111" s="500"/>
      <c r="E111" s="338"/>
      <c r="F111" s="332"/>
      <c r="G111" s="395">
        <f t="shared" si="0"/>
        <v>0</v>
      </c>
      <c r="H111" s="397"/>
      <c r="I111" s="395">
        <f t="shared" si="1"/>
        <v>0</v>
      </c>
      <c r="J111" s="395">
        <f t="shared" si="2"/>
        <v>0</v>
      </c>
      <c r="K111" s="338"/>
      <c r="L111" s="558"/>
      <c r="M111" s="341"/>
    </row>
    <row r="112" spans="1:13">
      <c r="A112" s="573"/>
      <c r="B112" s="382"/>
      <c r="C112" s="382"/>
      <c r="D112" s="500"/>
      <c r="E112" s="338"/>
      <c r="F112" s="332"/>
      <c r="G112" s="395">
        <f t="shared" si="0"/>
        <v>0</v>
      </c>
      <c r="H112" s="397"/>
      <c r="I112" s="395">
        <f t="shared" si="1"/>
        <v>0</v>
      </c>
      <c r="J112" s="395">
        <f t="shared" si="2"/>
        <v>0</v>
      </c>
      <c r="K112" s="338"/>
      <c r="L112" s="558"/>
      <c r="M112" s="341"/>
    </row>
    <row r="113" spans="1:13">
      <c r="A113" s="573"/>
      <c r="B113" s="382"/>
      <c r="C113" s="382"/>
      <c r="D113" s="380"/>
      <c r="E113" s="338"/>
      <c r="F113" s="332"/>
      <c r="G113" s="395">
        <f t="shared" si="0"/>
        <v>0</v>
      </c>
      <c r="H113" s="397"/>
      <c r="I113" s="395">
        <f t="shared" si="1"/>
        <v>0</v>
      </c>
      <c r="J113" s="395">
        <f t="shared" si="2"/>
        <v>0</v>
      </c>
      <c r="K113" s="338"/>
      <c r="L113" s="558"/>
      <c r="M113" s="341"/>
    </row>
    <row r="114" spans="1:13">
      <c r="A114" s="573"/>
      <c r="B114" s="382"/>
      <c r="C114" s="382"/>
      <c r="D114" s="380"/>
      <c r="E114" s="338"/>
      <c r="F114" s="332"/>
      <c r="G114" s="395">
        <f t="shared" si="0"/>
        <v>0</v>
      </c>
      <c r="H114" s="397"/>
      <c r="I114" s="395">
        <f t="shared" si="1"/>
        <v>0</v>
      </c>
      <c r="J114" s="395">
        <f t="shared" si="2"/>
        <v>0</v>
      </c>
      <c r="K114" s="338"/>
      <c r="L114" s="558"/>
      <c r="M114" s="341"/>
    </row>
    <row r="115" spans="1:13">
      <c r="A115" s="573"/>
      <c r="B115" s="382"/>
      <c r="C115" s="382"/>
      <c r="D115" s="380"/>
      <c r="E115" s="338"/>
      <c r="F115" s="332"/>
      <c r="G115" s="395">
        <f t="shared" si="0"/>
        <v>0</v>
      </c>
      <c r="H115" s="397"/>
      <c r="I115" s="395">
        <f t="shared" si="1"/>
        <v>0</v>
      </c>
      <c r="J115" s="395">
        <f t="shared" si="2"/>
        <v>0</v>
      </c>
      <c r="K115" s="338"/>
      <c r="L115" s="558"/>
      <c r="M115" s="341"/>
    </row>
    <row r="116" spans="1:13">
      <c r="A116" s="573"/>
      <c r="B116" s="382"/>
      <c r="C116" s="382"/>
      <c r="D116" s="380"/>
      <c r="E116" s="338"/>
      <c r="F116" s="332"/>
      <c r="G116" s="395">
        <f t="shared" si="0"/>
        <v>0</v>
      </c>
      <c r="H116" s="397"/>
      <c r="I116" s="395">
        <f t="shared" si="1"/>
        <v>0</v>
      </c>
      <c r="J116" s="395">
        <f t="shared" si="2"/>
        <v>0</v>
      </c>
      <c r="K116" s="338"/>
      <c r="L116" s="558"/>
      <c r="M116" s="341"/>
    </row>
    <row r="117" spans="1:13">
      <c r="A117" s="573"/>
      <c r="B117" s="382"/>
      <c r="C117" s="382"/>
      <c r="D117" s="380"/>
      <c r="E117" s="338"/>
      <c r="F117" s="332"/>
      <c r="G117" s="395">
        <f t="shared" si="0"/>
        <v>0</v>
      </c>
      <c r="H117" s="397"/>
      <c r="I117" s="395">
        <f t="shared" si="1"/>
        <v>0</v>
      </c>
      <c r="J117" s="395">
        <f t="shared" si="2"/>
        <v>0</v>
      </c>
      <c r="K117" s="338"/>
      <c r="L117" s="558"/>
      <c r="M117" s="341"/>
    </row>
    <row r="118" spans="1:13">
      <c r="A118" s="573"/>
      <c r="B118" s="382"/>
      <c r="C118" s="382"/>
      <c r="D118" s="380"/>
      <c r="E118" s="338"/>
      <c r="F118" s="332"/>
      <c r="G118" s="395">
        <f t="shared" si="0"/>
        <v>0</v>
      </c>
      <c r="H118" s="397"/>
      <c r="I118" s="395">
        <f t="shared" si="1"/>
        <v>0</v>
      </c>
      <c r="J118" s="395">
        <f t="shared" si="2"/>
        <v>0</v>
      </c>
      <c r="K118" s="338"/>
      <c r="L118" s="558"/>
      <c r="M118" s="341"/>
    </row>
    <row r="119" spans="1:13">
      <c r="A119" s="573"/>
      <c r="B119" s="382"/>
      <c r="C119" s="382"/>
      <c r="D119" s="380"/>
      <c r="E119" s="338"/>
      <c r="F119" s="332"/>
      <c r="G119" s="395">
        <f t="shared" si="0"/>
        <v>0</v>
      </c>
      <c r="H119" s="397"/>
      <c r="I119" s="395">
        <f t="shared" si="1"/>
        <v>0</v>
      </c>
      <c r="J119" s="395">
        <f t="shared" si="2"/>
        <v>0</v>
      </c>
      <c r="K119" s="338"/>
      <c r="L119" s="558"/>
      <c r="M119" s="341"/>
    </row>
    <row r="120" spans="1:13">
      <c r="A120" s="573"/>
      <c r="B120" s="382"/>
      <c r="C120" s="382"/>
      <c r="D120" s="380"/>
      <c r="E120" s="338"/>
      <c r="F120" s="332"/>
      <c r="G120" s="395">
        <f t="shared" si="0"/>
        <v>0</v>
      </c>
      <c r="H120" s="397"/>
      <c r="I120" s="395">
        <f t="shared" si="1"/>
        <v>0</v>
      </c>
      <c r="J120" s="395">
        <f t="shared" si="2"/>
        <v>0</v>
      </c>
      <c r="K120" s="338"/>
      <c r="L120" s="558"/>
      <c r="M120" s="341"/>
    </row>
    <row r="121" spans="1:13">
      <c r="A121" s="573"/>
      <c r="B121" s="382"/>
      <c r="C121" s="382"/>
      <c r="D121" s="380"/>
      <c r="E121" s="338"/>
      <c r="F121" s="332"/>
      <c r="G121" s="395">
        <f t="shared" si="0"/>
        <v>0</v>
      </c>
      <c r="H121" s="397"/>
      <c r="I121" s="395">
        <f t="shared" si="1"/>
        <v>0</v>
      </c>
      <c r="J121" s="395">
        <f t="shared" si="2"/>
        <v>0</v>
      </c>
      <c r="K121" s="338"/>
      <c r="L121" s="558"/>
      <c r="M121" s="341"/>
    </row>
    <row r="122" spans="1:13">
      <c r="A122" s="573"/>
      <c r="B122" s="382"/>
      <c r="C122" s="382"/>
      <c r="D122" s="380"/>
      <c r="E122" s="338"/>
      <c r="F122" s="332"/>
      <c r="G122" s="395">
        <f t="shared" si="0"/>
        <v>0</v>
      </c>
      <c r="H122" s="397"/>
      <c r="I122" s="395">
        <f t="shared" si="1"/>
        <v>0</v>
      </c>
      <c r="J122" s="395">
        <f t="shared" si="2"/>
        <v>0</v>
      </c>
      <c r="K122" s="338"/>
      <c r="L122" s="558"/>
      <c r="M122" s="341"/>
    </row>
    <row r="123" spans="1:13">
      <c r="A123" s="573"/>
      <c r="B123" s="382"/>
      <c r="C123" s="382"/>
      <c r="D123" s="380"/>
      <c r="E123" s="338"/>
      <c r="F123" s="332"/>
      <c r="G123" s="395">
        <f t="shared" si="0"/>
        <v>0</v>
      </c>
      <c r="H123" s="397"/>
      <c r="I123" s="395">
        <f t="shared" si="1"/>
        <v>0</v>
      </c>
      <c r="J123" s="395">
        <f t="shared" si="2"/>
        <v>0</v>
      </c>
      <c r="K123" s="338"/>
      <c r="L123" s="558"/>
      <c r="M123" s="341"/>
    </row>
    <row r="124" spans="1:13">
      <c r="A124" s="573"/>
      <c r="B124" s="380"/>
      <c r="C124" s="382"/>
      <c r="D124" s="380"/>
      <c r="E124" s="338"/>
      <c r="F124" s="332"/>
      <c r="G124" s="395">
        <f t="shared" si="0"/>
        <v>0</v>
      </c>
      <c r="H124" s="397"/>
      <c r="I124" s="395">
        <f t="shared" si="1"/>
        <v>0</v>
      </c>
      <c r="J124" s="395">
        <f t="shared" si="2"/>
        <v>0</v>
      </c>
      <c r="K124" s="338"/>
      <c r="L124" s="558"/>
      <c r="M124" s="341"/>
    </row>
    <row r="125" spans="1:13">
      <c r="A125" s="573"/>
      <c r="B125" s="380"/>
      <c r="C125" s="382"/>
      <c r="D125" s="380"/>
      <c r="E125" s="338"/>
      <c r="F125" s="332"/>
      <c r="G125" s="395">
        <f t="shared" si="0"/>
        <v>0</v>
      </c>
      <c r="H125" s="397"/>
      <c r="I125" s="395">
        <f t="shared" si="1"/>
        <v>0</v>
      </c>
      <c r="J125" s="395">
        <f t="shared" si="2"/>
        <v>0</v>
      </c>
      <c r="K125" s="338"/>
      <c r="L125" s="558"/>
      <c r="M125" s="341"/>
    </row>
    <row r="126" spans="1:13">
      <c r="A126" s="573"/>
      <c r="B126" s="380"/>
      <c r="C126" s="382"/>
      <c r="D126" s="380"/>
      <c r="E126" s="338"/>
      <c r="F126" s="332"/>
      <c r="G126" s="395">
        <f t="shared" si="0"/>
        <v>0</v>
      </c>
      <c r="H126" s="397"/>
      <c r="I126" s="395">
        <f t="shared" si="1"/>
        <v>0</v>
      </c>
      <c r="J126" s="395">
        <f t="shared" si="2"/>
        <v>0</v>
      </c>
      <c r="K126" s="338"/>
      <c r="L126" s="558"/>
      <c r="M126" s="341"/>
    </row>
    <row r="127" spans="1:13">
      <c r="A127" s="573"/>
      <c r="B127" s="380"/>
      <c r="C127" s="382"/>
      <c r="D127" s="380"/>
      <c r="E127" s="338"/>
      <c r="F127" s="332"/>
      <c r="G127" s="395">
        <f t="shared" si="0"/>
        <v>0</v>
      </c>
      <c r="H127" s="397"/>
      <c r="I127" s="395">
        <f t="shared" si="1"/>
        <v>0</v>
      </c>
      <c r="J127" s="395">
        <f t="shared" si="2"/>
        <v>0</v>
      </c>
      <c r="K127" s="338"/>
      <c r="L127" s="558"/>
      <c r="M127" s="341"/>
    </row>
    <row r="128" spans="1:13">
      <c r="A128" s="573"/>
      <c r="B128" s="380"/>
      <c r="C128" s="382"/>
      <c r="D128" s="380"/>
      <c r="E128" s="338"/>
      <c r="F128" s="332"/>
      <c r="G128" s="395">
        <f t="shared" si="0"/>
        <v>0</v>
      </c>
      <c r="H128" s="397"/>
      <c r="I128" s="395">
        <f t="shared" si="1"/>
        <v>0</v>
      </c>
      <c r="J128" s="395">
        <f t="shared" si="2"/>
        <v>0</v>
      </c>
      <c r="K128" s="338"/>
      <c r="L128" s="558"/>
      <c r="M128" s="341"/>
    </row>
    <row r="129" spans="1:13">
      <c r="A129" s="573"/>
      <c r="B129" s="380"/>
      <c r="C129" s="382"/>
      <c r="D129" s="380"/>
      <c r="E129" s="338"/>
      <c r="F129" s="332"/>
      <c r="G129" s="395">
        <f t="shared" si="0"/>
        <v>0</v>
      </c>
      <c r="H129" s="397"/>
      <c r="I129" s="395">
        <f t="shared" si="1"/>
        <v>0</v>
      </c>
      <c r="J129" s="395">
        <f t="shared" si="2"/>
        <v>0</v>
      </c>
      <c r="K129" s="338"/>
      <c r="L129" s="558"/>
      <c r="M129" s="341"/>
    </row>
    <row r="130" spans="1:13">
      <c r="A130" s="573"/>
      <c r="B130" s="380"/>
      <c r="C130" s="382"/>
      <c r="D130" s="380"/>
      <c r="E130" s="338"/>
      <c r="F130" s="332"/>
      <c r="G130" s="395">
        <f t="shared" si="0"/>
        <v>0</v>
      </c>
      <c r="H130" s="397"/>
      <c r="I130" s="395">
        <f t="shared" si="1"/>
        <v>0</v>
      </c>
      <c r="J130" s="395">
        <f t="shared" si="2"/>
        <v>0</v>
      </c>
      <c r="K130" s="338"/>
      <c r="L130" s="558"/>
      <c r="M130" s="341"/>
    </row>
    <row r="131" spans="1:13">
      <c r="A131" s="573"/>
      <c r="B131" s="380"/>
      <c r="C131" s="382"/>
      <c r="D131" s="380"/>
      <c r="E131" s="338"/>
      <c r="F131" s="332"/>
      <c r="G131" s="395">
        <f t="shared" si="0"/>
        <v>0</v>
      </c>
      <c r="H131" s="397"/>
      <c r="I131" s="395">
        <f t="shared" si="1"/>
        <v>0</v>
      </c>
      <c r="J131" s="395">
        <f t="shared" si="2"/>
        <v>0</v>
      </c>
      <c r="K131" s="338"/>
      <c r="L131" s="558"/>
      <c r="M131" s="341"/>
    </row>
    <row r="132" spans="1:13">
      <c r="A132" s="573"/>
      <c r="B132" s="382"/>
      <c r="C132" s="382"/>
      <c r="D132" s="380"/>
      <c r="E132" s="338"/>
      <c r="F132" s="332"/>
      <c r="G132" s="395">
        <f t="shared" si="0"/>
        <v>0</v>
      </c>
      <c r="H132" s="397"/>
      <c r="I132" s="395">
        <f t="shared" si="1"/>
        <v>0</v>
      </c>
      <c r="J132" s="395">
        <f t="shared" si="2"/>
        <v>0</v>
      </c>
      <c r="K132" s="338"/>
      <c r="L132" s="558"/>
      <c r="M132" s="341"/>
    </row>
    <row r="133" spans="1:13">
      <c r="A133" s="573"/>
      <c r="B133" s="382"/>
      <c r="C133" s="382"/>
      <c r="D133" s="380"/>
      <c r="E133" s="338"/>
      <c r="F133" s="332"/>
      <c r="G133" s="395">
        <f t="shared" si="0"/>
        <v>0</v>
      </c>
      <c r="H133" s="397"/>
      <c r="I133" s="395">
        <f t="shared" si="1"/>
        <v>0</v>
      </c>
      <c r="J133" s="395">
        <f t="shared" si="2"/>
        <v>0</v>
      </c>
      <c r="K133" s="338"/>
      <c r="L133" s="558"/>
      <c r="M133" s="341"/>
    </row>
    <row r="134" spans="1:13">
      <c r="A134" s="573"/>
      <c r="B134" s="382"/>
      <c r="C134" s="382"/>
      <c r="D134" s="380"/>
      <c r="E134" s="338"/>
      <c r="F134" s="332"/>
      <c r="G134" s="395">
        <f t="shared" si="0"/>
        <v>0</v>
      </c>
      <c r="H134" s="397"/>
      <c r="I134" s="395">
        <f t="shared" si="1"/>
        <v>0</v>
      </c>
      <c r="J134" s="395">
        <f t="shared" si="2"/>
        <v>0</v>
      </c>
      <c r="K134" s="338"/>
      <c r="L134" s="558"/>
      <c r="M134" s="341"/>
    </row>
    <row r="135" spans="1:13">
      <c r="A135" s="573"/>
      <c r="B135" s="382"/>
      <c r="C135" s="382"/>
      <c r="D135" s="380"/>
      <c r="E135" s="338"/>
      <c r="F135" s="332"/>
      <c r="G135" s="395">
        <f t="shared" si="0"/>
        <v>0</v>
      </c>
      <c r="H135" s="397"/>
      <c r="I135" s="395">
        <f t="shared" si="1"/>
        <v>0</v>
      </c>
      <c r="J135" s="395">
        <f t="shared" si="2"/>
        <v>0</v>
      </c>
      <c r="K135" s="338"/>
      <c r="L135" s="558"/>
      <c r="M135" s="341"/>
    </row>
    <row r="136" spans="1:13">
      <c r="A136" s="573"/>
      <c r="B136" s="382"/>
      <c r="C136" s="382"/>
      <c r="D136" s="380"/>
      <c r="E136" s="338"/>
      <c r="F136" s="332"/>
      <c r="G136" s="395">
        <f t="shared" si="0"/>
        <v>0</v>
      </c>
      <c r="H136" s="397"/>
      <c r="I136" s="395">
        <f t="shared" si="1"/>
        <v>0</v>
      </c>
      <c r="J136" s="395">
        <f t="shared" si="2"/>
        <v>0</v>
      </c>
      <c r="K136" s="338"/>
      <c r="L136" s="558"/>
      <c r="M136" s="341"/>
    </row>
    <row r="137" spans="1:13">
      <c r="A137" s="573"/>
      <c r="B137" s="382"/>
      <c r="C137" s="382"/>
      <c r="D137" s="380"/>
      <c r="E137" s="338"/>
      <c r="F137" s="332"/>
      <c r="G137" s="395">
        <f t="shared" si="0"/>
        <v>0</v>
      </c>
      <c r="H137" s="397"/>
      <c r="I137" s="395">
        <f t="shared" si="1"/>
        <v>0</v>
      </c>
      <c r="J137" s="395">
        <f t="shared" si="2"/>
        <v>0</v>
      </c>
      <c r="K137" s="338"/>
      <c r="L137" s="558"/>
      <c r="M137" s="341"/>
    </row>
    <row r="138" spans="1:13">
      <c r="A138" s="573"/>
      <c r="B138" s="382"/>
      <c r="C138" s="382"/>
      <c r="D138" s="380"/>
      <c r="E138" s="338"/>
      <c r="F138" s="332"/>
      <c r="G138" s="395">
        <f t="shared" si="0"/>
        <v>0</v>
      </c>
      <c r="H138" s="397"/>
      <c r="I138" s="395">
        <f t="shared" si="1"/>
        <v>0</v>
      </c>
      <c r="J138" s="395">
        <f t="shared" si="2"/>
        <v>0</v>
      </c>
      <c r="K138" s="338"/>
      <c r="L138" s="558"/>
      <c r="M138" s="341"/>
    </row>
    <row r="139" spans="1:13">
      <c r="A139" s="573"/>
      <c r="B139" s="382"/>
      <c r="C139" s="382"/>
      <c r="D139" s="380"/>
      <c r="E139" s="338"/>
      <c r="F139" s="332"/>
      <c r="G139" s="395">
        <f t="shared" si="0"/>
        <v>0</v>
      </c>
      <c r="H139" s="397"/>
      <c r="I139" s="395">
        <f t="shared" si="1"/>
        <v>0</v>
      </c>
      <c r="J139" s="395">
        <f t="shared" si="2"/>
        <v>0</v>
      </c>
      <c r="K139" s="338"/>
      <c r="L139" s="558"/>
      <c r="M139" s="341"/>
    </row>
    <row r="140" spans="1:13">
      <c r="A140" s="573"/>
      <c r="B140" s="382"/>
      <c r="C140" s="382"/>
      <c r="D140" s="380"/>
      <c r="E140" s="338"/>
      <c r="F140" s="332"/>
      <c r="G140" s="395">
        <f t="shared" si="0"/>
        <v>0</v>
      </c>
      <c r="H140" s="397"/>
      <c r="I140" s="395">
        <f t="shared" si="1"/>
        <v>0</v>
      </c>
      <c r="J140" s="395">
        <f t="shared" si="2"/>
        <v>0</v>
      </c>
      <c r="K140" s="338"/>
      <c r="L140" s="558"/>
      <c r="M140" s="341"/>
    </row>
    <row r="141" spans="1:13">
      <c r="A141" s="573"/>
      <c r="B141" s="382"/>
      <c r="C141" s="382"/>
      <c r="D141" s="380"/>
      <c r="E141" s="338"/>
      <c r="F141" s="332"/>
      <c r="G141" s="395">
        <f t="shared" si="0"/>
        <v>0</v>
      </c>
      <c r="H141" s="397"/>
      <c r="I141" s="395">
        <f t="shared" si="1"/>
        <v>0</v>
      </c>
      <c r="J141" s="395">
        <f t="shared" si="2"/>
        <v>0</v>
      </c>
      <c r="K141" s="338"/>
      <c r="L141" s="558"/>
      <c r="M141" s="341"/>
    </row>
    <row r="142" spans="1:13">
      <c r="A142" s="573"/>
      <c r="B142" s="382"/>
      <c r="C142" s="382"/>
      <c r="D142" s="380"/>
      <c r="E142" s="338"/>
      <c r="F142" s="332"/>
      <c r="G142" s="395">
        <f t="shared" si="0"/>
        <v>0</v>
      </c>
      <c r="H142" s="397"/>
      <c r="I142" s="395">
        <f t="shared" si="1"/>
        <v>0</v>
      </c>
      <c r="J142" s="395">
        <f t="shared" si="2"/>
        <v>0</v>
      </c>
      <c r="K142" s="338"/>
      <c r="L142" s="574"/>
      <c r="M142" s="341"/>
    </row>
    <row r="143" spans="1:13">
      <c r="A143" s="573"/>
      <c r="B143" s="382"/>
      <c r="C143" s="382"/>
      <c r="D143" s="380"/>
      <c r="E143" s="338"/>
      <c r="F143" s="332"/>
      <c r="G143" s="395">
        <f t="shared" si="0"/>
        <v>0</v>
      </c>
      <c r="H143" s="397"/>
      <c r="I143" s="395">
        <f t="shared" si="1"/>
        <v>0</v>
      </c>
      <c r="J143" s="395">
        <f t="shared" si="2"/>
        <v>0</v>
      </c>
      <c r="K143" s="338"/>
      <c r="L143" s="558"/>
      <c r="M143" s="341"/>
    </row>
    <row r="144" spans="1:13">
      <c r="A144" s="573"/>
      <c r="B144" s="382"/>
      <c r="C144" s="382"/>
      <c r="D144" s="380"/>
      <c r="E144" s="338"/>
      <c r="F144" s="332"/>
      <c r="G144" s="395">
        <f t="shared" si="0"/>
        <v>0</v>
      </c>
      <c r="H144" s="397"/>
      <c r="I144" s="395">
        <f t="shared" si="1"/>
        <v>0</v>
      </c>
      <c r="J144" s="395">
        <f t="shared" si="2"/>
        <v>0</v>
      </c>
      <c r="K144" s="338"/>
      <c r="L144" s="558"/>
      <c r="M144" s="341"/>
    </row>
    <row r="145" spans="1:13">
      <c r="A145" s="573"/>
      <c r="B145" s="382"/>
      <c r="C145" s="382"/>
      <c r="D145" s="380"/>
      <c r="E145" s="338"/>
      <c r="F145" s="332"/>
      <c r="G145" s="395">
        <f t="shared" si="0"/>
        <v>0</v>
      </c>
      <c r="H145" s="397"/>
      <c r="I145" s="395">
        <f t="shared" si="1"/>
        <v>0</v>
      </c>
      <c r="J145" s="395">
        <f t="shared" si="2"/>
        <v>0</v>
      </c>
      <c r="K145" s="338"/>
      <c r="L145" s="558"/>
      <c r="M145" s="341"/>
    </row>
    <row r="146" spans="1:13">
      <c r="A146" s="573"/>
      <c r="B146" s="380"/>
      <c r="C146" s="382"/>
      <c r="D146" s="380"/>
      <c r="E146" s="338"/>
      <c r="F146" s="332"/>
      <c r="G146" s="395">
        <f t="shared" si="0"/>
        <v>0</v>
      </c>
      <c r="H146" s="397"/>
      <c r="I146" s="395">
        <f t="shared" si="1"/>
        <v>0</v>
      </c>
      <c r="J146" s="395">
        <f t="shared" si="2"/>
        <v>0</v>
      </c>
      <c r="K146" s="338"/>
      <c r="L146" s="558"/>
      <c r="M146" s="341"/>
    </row>
    <row r="147" spans="1:13">
      <c r="A147" s="629"/>
      <c r="B147" s="613"/>
      <c r="C147" s="612"/>
      <c r="D147" s="613"/>
      <c r="E147" s="615"/>
      <c r="F147" s="617"/>
      <c r="G147" s="395">
        <f t="shared" si="0"/>
        <v>0</v>
      </c>
      <c r="H147" s="397"/>
      <c r="I147" s="395">
        <f t="shared" si="1"/>
        <v>0</v>
      </c>
      <c r="J147" s="395">
        <f t="shared" si="2"/>
        <v>0</v>
      </c>
      <c r="K147" s="615"/>
      <c r="L147" s="558"/>
      <c r="M147" s="341"/>
    </row>
    <row r="148" spans="1:13">
      <c r="A148" s="629"/>
      <c r="B148" s="612"/>
      <c r="C148" s="612"/>
      <c r="D148" s="613"/>
      <c r="E148" s="615"/>
      <c r="F148" s="617"/>
      <c r="G148" s="395">
        <f t="shared" si="0"/>
        <v>0</v>
      </c>
      <c r="H148" s="397"/>
      <c r="I148" s="395">
        <f t="shared" si="1"/>
        <v>0</v>
      </c>
      <c r="J148" s="395">
        <f t="shared" si="2"/>
        <v>0</v>
      </c>
      <c r="K148" s="615"/>
      <c r="L148" s="558"/>
      <c r="M148" s="341"/>
    </row>
    <row r="149" spans="1:13">
      <c r="A149" s="629"/>
      <c r="B149" s="612"/>
      <c r="C149" s="612"/>
      <c r="D149" s="613"/>
      <c r="E149" s="615"/>
      <c r="F149" s="617"/>
      <c r="G149" s="395">
        <f t="shared" si="0"/>
        <v>0</v>
      </c>
      <c r="H149" s="397"/>
      <c r="I149" s="395">
        <f t="shared" si="1"/>
        <v>0</v>
      </c>
      <c r="J149" s="395">
        <f t="shared" si="2"/>
        <v>0</v>
      </c>
      <c r="K149" s="615"/>
      <c r="L149" s="558"/>
      <c r="M149" s="341"/>
    </row>
    <row r="150" spans="1:13">
      <c r="A150" s="629"/>
      <c r="B150" s="612"/>
      <c r="C150" s="612"/>
      <c r="D150" s="613"/>
      <c r="E150" s="615"/>
      <c r="F150" s="617"/>
      <c r="G150" s="395">
        <f t="shared" si="0"/>
        <v>0</v>
      </c>
      <c r="H150" s="397"/>
      <c r="I150" s="395">
        <f t="shared" si="1"/>
        <v>0</v>
      </c>
      <c r="J150" s="395">
        <f t="shared" si="2"/>
        <v>0</v>
      </c>
      <c r="K150" s="615"/>
      <c r="L150" s="558"/>
      <c r="M150" s="341"/>
    </row>
    <row r="151" spans="1:13">
      <c r="A151" s="629"/>
      <c r="B151" s="612"/>
      <c r="C151" s="612"/>
      <c r="D151" s="613"/>
      <c r="E151" s="615"/>
      <c r="F151" s="617"/>
      <c r="G151" s="395">
        <f t="shared" si="0"/>
        <v>0</v>
      </c>
      <c r="H151" s="397"/>
      <c r="I151" s="395">
        <f t="shared" si="1"/>
        <v>0</v>
      </c>
      <c r="J151" s="395">
        <f t="shared" si="2"/>
        <v>0</v>
      </c>
      <c r="K151" s="615"/>
      <c r="L151" s="558"/>
      <c r="M151" s="341"/>
    </row>
    <row r="152" spans="1:13">
      <c r="A152" s="629"/>
      <c r="B152" s="612"/>
      <c r="C152" s="612"/>
      <c r="D152" s="613"/>
      <c r="E152" s="615"/>
      <c r="F152" s="621"/>
      <c r="G152" s="395">
        <f t="shared" si="0"/>
        <v>0</v>
      </c>
      <c r="H152" s="397"/>
      <c r="I152" s="395">
        <f t="shared" si="1"/>
        <v>0</v>
      </c>
      <c r="J152" s="395">
        <f t="shared" si="2"/>
        <v>0</v>
      </c>
      <c r="K152" s="615"/>
      <c r="L152" s="558"/>
      <c r="M152" s="341"/>
    </row>
    <row r="153" spans="1:13">
      <c r="A153" s="629"/>
      <c r="B153" s="612"/>
      <c r="C153" s="612"/>
      <c r="D153" s="613"/>
      <c r="E153" s="615"/>
      <c r="F153" s="621"/>
      <c r="G153" s="395">
        <f t="shared" si="0"/>
        <v>0</v>
      </c>
      <c r="H153" s="397"/>
      <c r="I153" s="395">
        <f t="shared" si="1"/>
        <v>0</v>
      </c>
      <c r="J153" s="395">
        <f t="shared" si="2"/>
        <v>0</v>
      </c>
      <c r="K153" s="615"/>
      <c r="L153" s="558"/>
      <c r="M153" s="341"/>
    </row>
    <row r="154" spans="1:13">
      <c r="A154" s="629"/>
      <c r="B154" s="612"/>
      <c r="C154" s="612"/>
      <c r="D154" s="613"/>
      <c r="E154" s="615"/>
      <c r="F154" s="621"/>
      <c r="G154" s="395">
        <f t="shared" si="0"/>
        <v>0</v>
      </c>
      <c r="H154" s="397"/>
      <c r="I154" s="395">
        <f t="shared" si="1"/>
        <v>0</v>
      </c>
      <c r="J154" s="395">
        <f t="shared" si="2"/>
        <v>0</v>
      </c>
      <c r="K154" s="615"/>
      <c r="L154" s="558"/>
      <c r="M154" s="341"/>
    </row>
    <row r="155" spans="1:13">
      <c r="A155" s="629"/>
      <c r="B155" s="612"/>
      <c r="C155" s="612"/>
      <c r="D155" s="613"/>
      <c r="E155" s="615"/>
      <c r="F155" s="621"/>
      <c r="G155" s="395">
        <f t="shared" si="0"/>
        <v>0</v>
      </c>
      <c r="H155" s="397"/>
      <c r="I155" s="395">
        <f t="shared" si="1"/>
        <v>0</v>
      </c>
      <c r="J155" s="395">
        <f t="shared" si="2"/>
        <v>0</v>
      </c>
      <c r="K155" s="615"/>
      <c r="L155" s="558"/>
      <c r="M155" s="341"/>
    </row>
    <row r="156" spans="1:13">
      <c r="A156" s="629"/>
      <c r="B156" s="612"/>
      <c r="C156" s="612"/>
      <c r="D156" s="613"/>
      <c r="E156" s="615"/>
      <c r="F156" s="617"/>
      <c r="G156" s="395">
        <f t="shared" si="0"/>
        <v>0</v>
      </c>
      <c r="H156" s="397"/>
      <c r="I156" s="395">
        <f t="shared" si="1"/>
        <v>0</v>
      </c>
      <c r="J156" s="395">
        <f t="shared" si="2"/>
        <v>0</v>
      </c>
      <c r="K156" s="615"/>
      <c r="L156" s="574"/>
      <c r="M156" s="341"/>
    </row>
    <row r="157" spans="1:13">
      <c r="A157" s="629"/>
      <c r="B157" s="612"/>
      <c r="C157" s="612"/>
      <c r="D157" s="613"/>
      <c r="E157" s="615"/>
      <c r="F157" s="621"/>
      <c r="G157" s="395">
        <f t="shared" si="0"/>
        <v>0</v>
      </c>
      <c r="H157" s="397"/>
      <c r="I157" s="395">
        <f t="shared" si="1"/>
        <v>0</v>
      </c>
      <c r="J157" s="395">
        <f t="shared" si="2"/>
        <v>0</v>
      </c>
      <c r="K157" s="615"/>
      <c r="L157" s="558"/>
      <c r="M157" s="341"/>
    </row>
    <row r="158" spans="1:13">
      <c r="A158" s="629"/>
      <c r="B158" s="612"/>
      <c r="C158" s="612"/>
      <c r="D158" s="613"/>
      <c r="E158" s="615"/>
      <c r="F158" s="621"/>
      <c r="G158" s="395">
        <f t="shared" si="0"/>
        <v>0</v>
      </c>
      <c r="H158" s="397"/>
      <c r="I158" s="395">
        <f t="shared" si="1"/>
        <v>0</v>
      </c>
      <c r="J158" s="395">
        <f t="shared" si="2"/>
        <v>0</v>
      </c>
      <c r="K158" s="615"/>
      <c r="L158" s="558"/>
      <c r="M158" s="341"/>
    </row>
    <row r="159" spans="1:13">
      <c r="A159" s="629"/>
      <c r="B159" s="612"/>
      <c r="C159" s="612"/>
      <c r="D159" s="613"/>
      <c r="E159" s="615"/>
      <c r="F159" s="621"/>
      <c r="G159" s="395">
        <f t="shared" si="0"/>
        <v>0</v>
      </c>
      <c r="H159" s="397"/>
      <c r="I159" s="395">
        <f t="shared" si="1"/>
        <v>0</v>
      </c>
      <c r="J159" s="395">
        <f t="shared" si="2"/>
        <v>0</v>
      </c>
      <c r="K159" s="615"/>
      <c r="L159" s="558"/>
      <c r="M159" s="341"/>
    </row>
    <row r="160" spans="1:13">
      <c r="A160" s="629"/>
      <c r="B160" s="612"/>
      <c r="C160" s="612"/>
      <c r="D160" s="613"/>
      <c r="E160" s="615"/>
      <c r="F160" s="621"/>
      <c r="G160" s="395">
        <f t="shared" si="0"/>
        <v>0</v>
      </c>
      <c r="H160" s="397"/>
      <c r="I160" s="395">
        <f t="shared" si="1"/>
        <v>0</v>
      </c>
      <c r="J160" s="395">
        <f t="shared" si="2"/>
        <v>0</v>
      </c>
      <c r="K160" s="615"/>
      <c r="L160" s="558"/>
      <c r="M160" s="341"/>
    </row>
    <row r="161" spans="1:13">
      <c r="A161" s="613"/>
      <c r="B161" s="612"/>
      <c r="C161" s="612"/>
      <c r="D161" s="613"/>
      <c r="E161" s="615"/>
      <c r="F161" s="638"/>
      <c r="G161" s="395">
        <f t="shared" si="0"/>
        <v>0</v>
      </c>
      <c r="H161" s="397"/>
      <c r="I161" s="395">
        <f t="shared" si="1"/>
        <v>0</v>
      </c>
      <c r="J161" s="395">
        <f t="shared" si="2"/>
        <v>0</v>
      </c>
      <c r="K161" s="615"/>
      <c r="L161" s="558"/>
      <c r="M161" s="341"/>
    </row>
    <row r="162" spans="1:13">
      <c r="A162" s="380"/>
      <c r="B162" s="382"/>
      <c r="C162" s="382"/>
      <c r="D162" s="380"/>
      <c r="E162" s="338"/>
      <c r="F162" s="502"/>
      <c r="G162" s="395">
        <f t="shared" si="0"/>
        <v>0</v>
      </c>
      <c r="H162" s="397"/>
      <c r="I162" s="395">
        <f t="shared" si="1"/>
        <v>0</v>
      </c>
      <c r="J162" s="395">
        <f t="shared" si="2"/>
        <v>0</v>
      </c>
      <c r="K162" s="338"/>
      <c r="L162" s="558"/>
      <c r="M162" s="341"/>
    </row>
    <row r="163" spans="1:13">
      <c r="A163" s="380"/>
      <c r="B163" s="382"/>
      <c r="C163" s="382"/>
      <c r="D163" s="380"/>
      <c r="E163" s="338"/>
      <c r="F163" s="502"/>
      <c r="G163" s="395">
        <f t="shared" si="0"/>
        <v>0</v>
      </c>
      <c r="H163" s="397"/>
      <c r="I163" s="395">
        <f t="shared" si="1"/>
        <v>0</v>
      </c>
      <c r="J163" s="395">
        <f t="shared" si="2"/>
        <v>0</v>
      </c>
      <c r="K163" s="338"/>
      <c r="L163" s="558"/>
      <c r="M163" s="341"/>
    </row>
    <row r="164" spans="1:13">
      <c r="A164" s="380"/>
      <c r="B164" s="382"/>
      <c r="C164" s="382"/>
      <c r="D164" s="380"/>
      <c r="E164" s="338"/>
      <c r="F164" s="502"/>
      <c r="G164" s="395">
        <f t="shared" si="0"/>
        <v>0</v>
      </c>
      <c r="H164" s="397"/>
      <c r="I164" s="395">
        <f t="shared" si="1"/>
        <v>0</v>
      </c>
      <c r="J164" s="395">
        <f t="shared" si="2"/>
        <v>0</v>
      </c>
      <c r="K164" s="338"/>
      <c r="L164" s="558"/>
      <c r="M164" s="341"/>
    </row>
    <row r="165" spans="1:13">
      <c r="A165" s="380"/>
      <c r="B165" s="382"/>
      <c r="C165" s="382"/>
      <c r="D165" s="380"/>
      <c r="E165" s="338"/>
      <c r="F165" s="502"/>
      <c r="G165" s="395">
        <f t="shared" si="0"/>
        <v>0</v>
      </c>
      <c r="H165" s="397"/>
      <c r="I165" s="395">
        <f t="shared" si="1"/>
        <v>0</v>
      </c>
      <c r="J165" s="395">
        <f t="shared" si="2"/>
        <v>0</v>
      </c>
      <c r="K165" s="338"/>
      <c r="L165" s="558"/>
      <c r="M165" s="341"/>
    </row>
    <row r="166" spans="1:13">
      <c r="A166" s="380"/>
      <c r="B166" s="382"/>
      <c r="C166" s="382"/>
      <c r="D166" s="380"/>
      <c r="E166" s="338"/>
      <c r="F166" s="502"/>
      <c r="G166" s="395">
        <f t="shared" si="0"/>
        <v>0</v>
      </c>
      <c r="H166" s="397"/>
      <c r="I166" s="395">
        <f t="shared" si="1"/>
        <v>0</v>
      </c>
      <c r="J166" s="395">
        <f t="shared" si="2"/>
        <v>0</v>
      </c>
      <c r="K166" s="338"/>
      <c r="L166" s="558"/>
      <c r="M166" s="341"/>
    </row>
    <row r="167" spans="1:13">
      <c r="A167" s="380"/>
      <c r="B167" s="382"/>
      <c r="C167" s="382"/>
      <c r="D167" s="380"/>
      <c r="E167" s="338"/>
      <c r="F167" s="502"/>
      <c r="G167" s="395">
        <f t="shared" si="0"/>
        <v>0</v>
      </c>
      <c r="H167" s="397"/>
      <c r="I167" s="395">
        <f t="shared" si="1"/>
        <v>0</v>
      </c>
      <c r="J167" s="395">
        <f t="shared" si="2"/>
        <v>0</v>
      </c>
      <c r="K167" s="338"/>
      <c r="L167" s="558"/>
      <c r="M167" s="341"/>
    </row>
    <row r="168" spans="1:13">
      <c r="A168" s="380"/>
      <c r="B168" s="382"/>
      <c r="C168" s="382"/>
      <c r="D168" s="380"/>
      <c r="E168" s="338"/>
      <c r="F168" s="502"/>
      <c r="G168" s="395">
        <f t="shared" si="0"/>
        <v>0</v>
      </c>
      <c r="H168" s="397"/>
      <c r="I168" s="395">
        <f t="shared" si="1"/>
        <v>0</v>
      </c>
      <c r="J168" s="395">
        <f t="shared" si="2"/>
        <v>0</v>
      </c>
      <c r="K168" s="338"/>
      <c r="L168" s="558"/>
      <c r="M168" s="341"/>
    </row>
    <row r="169" spans="1:13">
      <c r="A169" s="380"/>
      <c r="B169" s="382"/>
      <c r="C169" s="382"/>
      <c r="D169" s="380"/>
      <c r="E169" s="338"/>
      <c r="F169" s="502"/>
      <c r="G169" s="395">
        <f t="shared" si="0"/>
        <v>0</v>
      </c>
      <c r="H169" s="397"/>
      <c r="I169" s="395">
        <f t="shared" si="1"/>
        <v>0</v>
      </c>
      <c r="J169" s="395">
        <f t="shared" si="2"/>
        <v>0</v>
      </c>
      <c r="K169" s="338"/>
      <c r="L169" s="558"/>
      <c r="M169" s="341"/>
    </row>
    <row r="170" spans="1:13">
      <c r="A170" s="380"/>
      <c r="B170" s="382"/>
      <c r="C170" s="382"/>
      <c r="D170" s="380"/>
      <c r="E170" s="338"/>
      <c r="F170" s="502"/>
      <c r="G170" s="395">
        <f t="shared" si="0"/>
        <v>0</v>
      </c>
      <c r="H170" s="397"/>
      <c r="I170" s="395">
        <f t="shared" si="1"/>
        <v>0</v>
      </c>
      <c r="J170" s="395">
        <f t="shared" si="2"/>
        <v>0</v>
      </c>
      <c r="K170" s="338"/>
      <c r="L170" s="558"/>
      <c r="M170" s="341"/>
    </row>
    <row r="171" spans="1:13">
      <c r="A171" s="380"/>
      <c r="B171" s="382"/>
      <c r="C171" s="382"/>
      <c r="D171" s="380"/>
      <c r="E171" s="338"/>
      <c r="F171" s="637"/>
      <c r="G171" s="395">
        <f t="shared" si="0"/>
        <v>0</v>
      </c>
      <c r="H171" s="397"/>
      <c r="I171" s="395">
        <f t="shared" si="1"/>
        <v>0</v>
      </c>
      <c r="J171" s="395">
        <f t="shared" si="2"/>
        <v>0</v>
      </c>
      <c r="K171" s="338"/>
      <c r="L171" s="574"/>
      <c r="M171" s="341"/>
    </row>
    <row r="172" spans="1:13">
      <c r="A172" s="380"/>
      <c r="B172" s="382"/>
      <c r="C172" s="382"/>
      <c r="D172" s="380"/>
      <c r="E172" s="338"/>
      <c r="F172" s="502"/>
      <c r="G172" s="395">
        <f t="shared" si="0"/>
        <v>0</v>
      </c>
      <c r="H172" s="397"/>
      <c r="I172" s="395">
        <f t="shared" si="1"/>
        <v>0</v>
      </c>
      <c r="J172" s="395">
        <f t="shared" si="2"/>
        <v>0</v>
      </c>
      <c r="K172" s="338"/>
      <c r="L172" s="558"/>
      <c r="M172" s="341"/>
    </row>
    <row r="173" spans="1:13">
      <c r="A173" s="380"/>
      <c r="B173" s="382"/>
      <c r="C173" s="382"/>
      <c r="D173" s="380"/>
      <c r="E173" s="338"/>
      <c r="F173" s="502"/>
      <c r="G173" s="395">
        <f t="shared" si="0"/>
        <v>0</v>
      </c>
      <c r="H173" s="397"/>
      <c r="I173" s="395">
        <f t="shared" si="1"/>
        <v>0</v>
      </c>
      <c r="J173" s="395">
        <f t="shared" si="2"/>
        <v>0</v>
      </c>
      <c r="K173" s="338"/>
      <c r="L173" s="558"/>
      <c r="M173" s="341"/>
    </row>
    <row r="174" spans="1:13">
      <c r="A174" s="380"/>
      <c r="B174" s="382"/>
      <c r="C174" s="382"/>
      <c r="D174" s="380"/>
      <c r="E174" s="338"/>
      <c r="F174" s="502"/>
      <c r="G174" s="395">
        <f t="shared" si="0"/>
        <v>0</v>
      </c>
      <c r="H174" s="397"/>
      <c r="I174" s="395">
        <f t="shared" si="1"/>
        <v>0</v>
      </c>
      <c r="J174" s="395">
        <f t="shared" si="2"/>
        <v>0</v>
      </c>
      <c r="K174" s="338"/>
      <c r="L174" s="558"/>
      <c r="M174" s="341"/>
    </row>
    <row r="175" spans="1:13">
      <c r="A175" s="380"/>
      <c r="B175" s="382"/>
      <c r="C175" s="382"/>
      <c r="D175" s="380"/>
      <c r="E175" s="338"/>
      <c r="F175" s="502"/>
      <c r="G175" s="395">
        <f t="shared" si="0"/>
        <v>0</v>
      </c>
      <c r="H175" s="397"/>
      <c r="I175" s="395">
        <f t="shared" si="1"/>
        <v>0</v>
      </c>
      <c r="J175" s="395">
        <f t="shared" si="2"/>
        <v>0</v>
      </c>
      <c r="K175" s="338"/>
      <c r="L175" s="558"/>
      <c r="M175" s="341"/>
    </row>
    <row r="176" spans="1:13">
      <c r="A176" s="380"/>
      <c r="B176" s="382"/>
      <c r="C176" s="382"/>
      <c r="D176" s="380"/>
      <c r="E176" s="338"/>
      <c r="F176" s="502"/>
      <c r="G176" s="395">
        <f t="shared" si="0"/>
        <v>0</v>
      </c>
      <c r="H176" s="397"/>
      <c r="I176" s="395">
        <f t="shared" si="1"/>
        <v>0</v>
      </c>
      <c r="J176" s="395">
        <f t="shared" si="2"/>
        <v>0</v>
      </c>
      <c r="K176" s="338"/>
      <c r="L176" s="558"/>
      <c r="M176" s="341"/>
    </row>
    <row r="177" spans="1:13">
      <c r="A177" s="380"/>
      <c r="B177" s="380"/>
      <c r="C177" s="382"/>
      <c r="D177" s="380"/>
      <c r="E177" s="338"/>
      <c r="F177" s="637"/>
      <c r="G177" s="395">
        <f t="shared" si="0"/>
        <v>0</v>
      </c>
      <c r="H177" s="397"/>
      <c r="I177" s="395">
        <f t="shared" si="1"/>
        <v>0</v>
      </c>
      <c r="J177" s="395">
        <f t="shared" si="2"/>
        <v>0</v>
      </c>
      <c r="K177" s="338"/>
      <c r="L177" s="558"/>
      <c r="M177" s="341"/>
    </row>
    <row r="178" spans="1:13">
      <c r="A178" s="380"/>
      <c r="B178" s="380"/>
      <c r="C178" s="382"/>
      <c r="D178" s="646"/>
      <c r="E178" s="338"/>
      <c r="F178" s="637"/>
      <c r="G178" s="395">
        <f t="shared" si="0"/>
        <v>0</v>
      </c>
      <c r="H178" s="397"/>
      <c r="I178" s="395">
        <f t="shared" si="1"/>
        <v>0</v>
      </c>
      <c r="J178" s="395">
        <f t="shared" si="2"/>
        <v>0</v>
      </c>
      <c r="K178" s="338"/>
      <c r="L178" s="558"/>
      <c r="M178" s="341"/>
    </row>
    <row r="179" spans="1:13">
      <c r="A179" s="380"/>
      <c r="B179" s="380"/>
      <c r="C179" s="382"/>
      <c r="D179" s="380"/>
      <c r="E179" s="338"/>
      <c r="F179" s="637"/>
      <c r="G179" s="395">
        <f t="shared" si="0"/>
        <v>0</v>
      </c>
      <c r="H179" s="397"/>
      <c r="I179" s="395">
        <f t="shared" si="1"/>
        <v>0</v>
      </c>
      <c r="J179" s="395">
        <f t="shared" si="2"/>
        <v>0</v>
      </c>
      <c r="K179" s="338"/>
      <c r="L179" s="558"/>
      <c r="M179" s="341"/>
    </row>
    <row r="180" spans="1:13">
      <c r="A180" s="380"/>
      <c r="B180" s="380"/>
      <c r="C180" s="382"/>
      <c r="D180" s="380"/>
      <c r="E180" s="338"/>
      <c r="F180" s="637"/>
      <c r="G180" s="395">
        <f t="shared" si="0"/>
        <v>0</v>
      </c>
      <c r="H180" s="397"/>
      <c r="I180" s="395">
        <f t="shared" si="1"/>
        <v>0</v>
      </c>
      <c r="J180" s="395">
        <f t="shared" si="2"/>
        <v>0</v>
      </c>
      <c r="K180" s="338"/>
      <c r="L180" s="558"/>
      <c r="M180" s="341"/>
    </row>
    <row r="181" spans="1:13">
      <c r="A181" s="380"/>
      <c r="B181" s="380"/>
      <c r="C181" s="382"/>
      <c r="D181" s="380"/>
      <c r="E181" s="338"/>
      <c r="F181" s="502"/>
      <c r="G181" s="395">
        <f t="shared" si="0"/>
        <v>0</v>
      </c>
      <c r="H181" s="397"/>
      <c r="I181" s="395">
        <f t="shared" si="1"/>
        <v>0</v>
      </c>
      <c r="J181" s="395">
        <f t="shared" si="2"/>
        <v>0</v>
      </c>
      <c r="K181" s="338"/>
      <c r="L181" s="558"/>
      <c r="M181" s="341"/>
    </row>
    <row r="182" spans="1:13">
      <c r="A182" s="380"/>
      <c r="B182" s="380"/>
      <c r="C182" s="382"/>
      <c r="D182" s="380"/>
      <c r="E182" s="338"/>
      <c r="F182" s="637"/>
      <c r="G182" s="395">
        <f t="shared" si="0"/>
        <v>0</v>
      </c>
      <c r="H182" s="397"/>
      <c r="I182" s="395">
        <f t="shared" si="1"/>
        <v>0</v>
      </c>
      <c r="J182" s="395">
        <f t="shared" si="2"/>
        <v>0</v>
      </c>
      <c r="K182" s="338"/>
      <c r="L182" s="574"/>
      <c r="M182" s="341"/>
    </row>
    <row r="183" spans="1:13">
      <c r="A183" s="380"/>
      <c r="B183" s="380"/>
      <c r="C183" s="382"/>
      <c r="D183" s="380"/>
      <c r="E183" s="338"/>
      <c r="F183" s="637"/>
      <c r="G183" s="395">
        <f t="shared" si="0"/>
        <v>0</v>
      </c>
      <c r="H183" s="397"/>
      <c r="I183" s="395">
        <f t="shared" si="1"/>
        <v>0</v>
      </c>
      <c r="J183" s="395">
        <f t="shared" si="2"/>
        <v>0</v>
      </c>
      <c r="K183" s="338"/>
      <c r="L183" s="574"/>
      <c r="M183" s="341"/>
    </row>
    <row r="184" spans="1:13">
      <c r="A184" s="380"/>
      <c r="B184" s="380"/>
      <c r="C184" s="382"/>
      <c r="D184" s="380"/>
      <c r="E184" s="338"/>
      <c r="F184" s="637"/>
      <c r="G184" s="395">
        <f t="shared" si="0"/>
        <v>0</v>
      </c>
      <c r="H184" s="397"/>
      <c r="I184" s="395">
        <f t="shared" si="1"/>
        <v>0</v>
      </c>
      <c r="J184" s="395">
        <f t="shared" si="2"/>
        <v>0</v>
      </c>
      <c r="K184" s="338"/>
      <c r="L184" s="574"/>
      <c r="M184" s="341"/>
    </row>
    <row r="185" spans="1:13">
      <c r="A185" s="380"/>
      <c r="B185" s="382"/>
      <c r="C185" s="382"/>
      <c r="D185" s="380"/>
      <c r="E185" s="338"/>
      <c r="F185" s="502"/>
      <c r="G185" s="395">
        <f t="shared" si="0"/>
        <v>0</v>
      </c>
      <c r="H185" s="397"/>
      <c r="I185" s="395">
        <f t="shared" si="1"/>
        <v>0</v>
      </c>
      <c r="J185" s="395">
        <f t="shared" si="2"/>
        <v>0</v>
      </c>
      <c r="K185" s="338"/>
      <c r="L185" s="574"/>
      <c r="M185" s="341"/>
    </row>
    <row r="186" spans="1:13">
      <c r="A186" s="380"/>
      <c r="B186" s="382"/>
      <c r="C186" s="382"/>
      <c r="D186" s="380"/>
      <c r="E186" s="338"/>
      <c r="F186" s="502"/>
      <c r="G186" s="395">
        <f t="shared" si="0"/>
        <v>0</v>
      </c>
      <c r="H186" s="397"/>
      <c r="I186" s="395">
        <f t="shared" si="1"/>
        <v>0</v>
      </c>
      <c r="J186" s="395">
        <f t="shared" si="2"/>
        <v>0</v>
      </c>
      <c r="K186" s="338"/>
      <c r="L186" s="558"/>
      <c r="M186" s="341"/>
    </row>
    <row r="187" spans="1:13">
      <c r="A187" s="380"/>
      <c r="B187" s="382"/>
      <c r="C187" s="382"/>
      <c r="D187" s="380"/>
      <c r="E187" s="338"/>
      <c r="F187" s="502"/>
      <c r="G187" s="395">
        <f t="shared" si="0"/>
        <v>0</v>
      </c>
      <c r="H187" s="397"/>
      <c r="I187" s="395">
        <f t="shared" si="1"/>
        <v>0</v>
      </c>
      <c r="J187" s="395">
        <f t="shared" si="2"/>
        <v>0</v>
      </c>
      <c r="K187" s="338"/>
      <c r="L187" s="558"/>
      <c r="M187" s="341"/>
    </row>
    <row r="188" spans="1:13">
      <c r="A188" s="380"/>
      <c r="B188" s="382"/>
      <c r="C188" s="382"/>
      <c r="D188" s="380"/>
      <c r="E188" s="338"/>
      <c r="F188" s="502"/>
      <c r="G188" s="395">
        <f t="shared" si="0"/>
        <v>0</v>
      </c>
      <c r="H188" s="397"/>
      <c r="I188" s="395">
        <f t="shared" si="1"/>
        <v>0</v>
      </c>
      <c r="J188" s="395">
        <f t="shared" si="2"/>
        <v>0</v>
      </c>
      <c r="K188" s="338"/>
      <c r="L188" s="558"/>
      <c r="M188" s="341"/>
    </row>
    <row r="189" spans="1:13">
      <c r="A189" s="380"/>
      <c r="B189" s="382"/>
      <c r="C189" s="382"/>
      <c r="D189" s="380"/>
      <c r="E189" s="338"/>
      <c r="F189" s="502"/>
      <c r="G189" s="395">
        <f t="shared" si="0"/>
        <v>0</v>
      </c>
      <c r="H189" s="397"/>
      <c r="I189" s="395">
        <f t="shared" si="1"/>
        <v>0</v>
      </c>
      <c r="J189" s="395">
        <f t="shared" si="2"/>
        <v>0</v>
      </c>
      <c r="K189" s="338"/>
      <c r="L189" s="558"/>
      <c r="M189" s="341"/>
    </row>
    <row r="190" spans="1:13">
      <c r="A190" s="525"/>
      <c r="B190" s="569"/>
      <c r="C190" s="569"/>
      <c r="D190" s="525"/>
      <c r="E190" s="559"/>
      <c r="F190" s="566"/>
      <c r="G190" s="395">
        <f t="shared" si="0"/>
        <v>0</v>
      </c>
      <c r="H190" s="397"/>
      <c r="I190" s="395">
        <f t="shared" si="1"/>
        <v>0</v>
      </c>
      <c r="J190" s="395">
        <f t="shared" si="2"/>
        <v>0</v>
      </c>
      <c r="K190" s="559"/>
      <c r="L190" s="571"/>
      <c r="M190" s="572"/>
    </row>
    <row r="191" spans="1:13">
      <c r="A191" s="380"/>
      <c r="B191" s="382"/>
      <c r="C191" s="382"/>
      <c r="D191" s="380"/>
      <c r="E191" s="338"/>
      <c r="F191" s="502"/>
      <c r="G191" s="334">
        <f t="shared" si="0"/>
        <v>0</v>
      </c>
      <c r="H191" s="336"/>
      <c r="I191" s="334">
        <f t="shared" si="1"/>
        <v>0</v>
      </c>
      <c r="J191" s="334">
        <f t="shared" si="2"/>
        <v>0</v>
      </c>
      <c r="K191" s="338"/>
      <c r="L191" s="558"/>
      <c r="M191" s="341"/>
    </row>
    <row r="192" spans="1:13">
      <c r="A192" s="380"/>
      <c r="B192" s="382"/>
      <c r="C192" s="382"/>
      <c r="D192" s="380"/>
      <c r="E192" s="338"/>
      <c r="F192" s="502"/>
      <c r="G192" s="334">
        <f t="shared" si="0"/>
        <v>0</v>
      </c>
      <c r="H192" s="336"/>
      <c r="I192" s="334">
        <f t="shared" si="1"/>
        <v>0</v>
      </c>
      <c r="J192" s="334">
        <f t="shared" si="2"/>
        <v>0</v>
      </c>
      <c r="K192" s="338"/>
      <c r="L192" s="558"/>
      <c r="M192" s="341"/>
    </row>
    <row r="193" spans="1:13">
      <c r="A193" s="380"/>
      <c r="B193" s="382"/>
      <c r="C193" s="382"/>
      <c r="D193" s="380"/>
      <c r="E193" s="338"/>
      <c r="F193" s="637"/>
      <c r="G193" s="334">
        <f t="shared" si="0"/>
        <v>0</v>
      </c>
      <c r="H193" s="336"/>
      <c r="I193" s="334">
        <f t="shared" si="1"/>
        <v>0</v>
      </c>
      <c r="J193" s="334">
        <f t="shared" si="2"/>
        <v>0</v>
      </c>
      <c r="K193" s="338"/>
      <c r="L193" s="558"/>
      <c r="M193" s="341"/>
    </row>
    <row r="194" spans="1:13">
      <c r="A194" s="380"/>
      <c r="B194" s="382"/>
      <c r="C194" s="382"/>
      <c r="D194" s="380"/>
      <c r="E194" s="338"/>
      <c r="F194" s="637"/>
      <c r="G194" s="334">
        <f t="shared" si="0"/>
        <v>0</v>
      </c>
      <c r="H194" s="336"/>
      <c r="I194" s="334">
        <f t="shared" si="1"/>
        <v>0</v>
      </c>
      <c r="J194" s="334">
        <f t="shared" si="2"/>
        <v>0</v>
      </c>
      <c r="K194" s="338"/>
      <c r="L194" s="558"/>
      <c r="M194" s="341"/>
    </row>
    <row r="195" spans="1:13">
      <c r="A195" s="380"/>
      <c r="B195" s="382"/>
      <c r="C195" s="382"/>
      <c r="D195" s="380"/>
      <c r="E195" s="338"/>
      <c r="F195" s="502"/>
      <c r="G195" s="334">
        <f t="shared" si="0"/>
        <v>0</v>
      </c>
      <c r="H195" s="336"/>
      <c r="I195" s="334">
        <f t="shared" si="1"/>
        <v>0</v>
      </c>
      <c r="J195" s="334">
        <f t="shared" si="2"/>
        <v>0</v>
      </c>
      <c r="K195" s="338"/>
      <c r="L195" s="558"/>
      <c r="M195" s="341"/>
    </row>
    <row r="196" spans="1:13">
      <c r="A196" s="380"/>
      <c r="B196" s="382"/>
      <c r="C196" s="382"/>
      <c r="D196" s="380"/>
      <c r="E196" s="338"/>
      <c r="F196" s="502"/>
      <c r="G196" s="334">
        <f t="shared" si="0"/>
        <v>0</v>
      </c>
      <c r="H196" s="336"/>
      <c r="I196" s="334">
        <f t="shared" si="1"/>
        <v>0</v>
      </c>
      <c r="J196" s="334">
        <f t="shared" si="2"/>
        <v>0</v>
      </c>
      <c r="K196" s="338"/>
      <c r="L196" s="558"/>
      <c r="M196" s="341"/>
    </row>
    <row r="197" spans="1:13">
      <c r="A197" s="380"/>
      <c r="B197" s="382"/>
      <c r="C197" s="382"/>
      <c r="D197" s="380"/>
      <c r="E197" s="338"/>
      <c r="F197" s="637"/>
      <c r="G197" s="334">
        <f t="shared" si="0"/>
        <v>0</v>
      </c>
      <c r="H197" s="336"/>
      <c r="I197" s="334">
        <f t="shared" si="1"/>
        <v>0</v>
      </c>
      <c r="J197" s="334">
        <f t="shared" si="2"/>
        <v>0</v>
      </c>
      <c r="K197" s="338"/>
      <c r="L197" s="558"/>
      <c r="M197" s="341"/>
    </row>
    <row r="198" spans="1:13">
      <c r="A198" s="380"/>
      <c r="B198" s="382"/>
      <c r="C198" s="382"/>
      <c r="D198" s="380"/>
      <c r="E198" s="338"/>
      <c r="F198" s="502"/>
      <c r="G198" s="334">
        <f t="shared" si="0"/>
        <v>0</v>
      </c>
      <c r="H198" s="336"/>
      <c r="I198" s="334">
        <f t="shared" si="1"/>
        <v>0</v>
      </c>
      <c r="J198" s="334">
        <f t="shared" si="2"/>
        <v>0</v>
      </c>
      <c r="K198" s="338"/>
      <c r="L198" s="558"/>
      <c r="M198" s="341"/>
    </row>
    <row r="199" spans="1:13">
      <c r="A199" s="380"/>
      <c r="B199" s="382"/>
      <c r="C199" s="382"/>
      <c r="D199" s="380"/>
      <c r="E199" s="338"/>
      <c r="F199" s="637"/>
      <c r="G199" s="334">
        <f t="shared" si="0"/>
        <v>0</v>
      </c>
      <c r="H199" s="336"/>
      <c r="I199" s="334">
        <f t="shared" si="1"/>
        <v>0</v>
      </c>
      <c r="J199" s="334">
        <f t="shared" si="2"/>
        <v>0</v>
      </c>
      <c r="K199" s="338"/>
      <c r="L199" s="558"/>
      <c r="M199" s="341"/>
    </row>
    <row r="200" spans="1:13">
      <c r="A200" s="380"/>
      <c r="B200" s="382"/>
      <c r="C200" s="382"/>
      <c r="D200" s="380"/>
      <c r="E200" s="338"/>
      <c r="F200" s="502"/>
      <c r="G200" s="334">
        <f t="shared" si="0"/>
        <v>0</v>
      </c>
      <c r="H200" s="336"/>
      <c r="I200" s="334">
        <f t="shared" si="1"/>
        <v>0</v>
      </c>
      <c r="J200" s="334">
        <f t="shared" si="2"/>
        <v>0</v>
      </c>
      <c r="K200" s="338"/>
      <c r="L200" s="558"/>
      <c r="M200" s="341"/>
    </row>
    <row r="201" spans="1:13">
      <c r="A201" s="380"/>
      <c r="B201" s="382"/>
      <c r="C201" s="382"/>
      <c r="D201" s="380"/>
      <c r="E201" s="338"/>
      <c r="F201" s="502"/>
      <c r="G201" s="334">
        <f t="shared" si="0"/>
        <v>0</v>
      </c>
      <c r="H201" s="336"/>
      <c r="I201" s="334">
        <f t="shared" si="1"/>
        <v>0</v>
      </c>
      <c r="J201" s="334">
        <f t="shared" si="2"/>
        <v>0</v>
      </c>
      <c r="K201" s="338"/>
      <c r="L201" s="558"/>
      <c r="M201" s="341"/>
    </row>
    <row r="202" spans="1:13">
      <c r="A202" s="380"/>
      <c r="B202" s="382"/>
      <c r="C202" s="382"/>
      <c r="D202" s="380"/>
      <c r="E202" s="338"/>
      <c r="F202" s="502"/>
      <c r="G202" s="334">
        <f t="shared" si="0"/>
        <v>0</v>
      </c>
      <c r="H202" s="336"/>
      <c r="I202" s="334">
        <f t="shared" si="1"/>
        <v>0</v>
      </c>
      <c r="J202" s="334">
        <f t="shared" si="2"/>
        <v>0</v>
      </c>
      <c r="K202" s="338"/>
      <c r="L202" s="558"/>
      <c r="M202" s="341"/>
    </row>
    <row r="203" spans="1:13">
      <c r="A203" s="380"/>
      <c r="B203" s="382"/>
      <c r="C203" s="382"/>
      <c r="D203" s="380"/>
      <c r="E203" s="338"/>
      <c r="F203" s="637"/>
      <c r="G203" s="334">
        <f t="shared" si="0"/>
        <v>0</v>
      </c>
      <c r="H203" s="336"/>
      <c r="I203" s="334">
        <f t="shared" si="1"/>
        <v>0</v>
      </c>
      <c r="J203" s="334">
        <f t="shared" si="2"/>
        <v>0</v>
      </c>
      <c r="K203" s="338"/>
      <c r="L203" s="558"/>
      <c r="M203" s="341"/>
    </row>
    <row r="204" spans="1:13">
      <c r="A204" s="380"/>
      <c r="B204" s="382"/>
      <c r="C204" s="382"/>
      <c r="D204" s="380"/>
      <c r="E204" s="338"/>
      <c r="F204" s="502"/>
      <c r="G204" s="598">
        <f t="shared" si="0"/>
        <v>0</v>
      </c>
      <c r="H204" s="599"/>
      <c r="I204" s="598">
        <f t="shared" si="1"/>
        <v>0</v>
      </c>
      <c r="J204" s="598">
        <f t="shared" si="2"/>
        <v>0</v>
      </c>
      <c r="K204" s="330"/>
      <c r="L204" s="558"/>
      <c r="M204" s="341"/>
    </row>
    <row r="205" spans="1:13">
      <c r="A205" s="380"/>
      <c r="B205" s="382"/>
      <c r="C205" s="382"/>
      <c r="D205" s="380"/>
      <c r="E205" s="338"/>
      <c r="F205" s="502"/>
      <c r="G205" s="598">
        <f t="shared" si="0"/>
        <v>0</v>
      </c>
      <c r="H205" s="599"/>
      <c r="I205" s="598">
        <f t="shared" si="1"/>
        <v>0</v>
      </c>
      <c r="J205" s="598">
        <f t="shared" si="2"/>
        <v>0</v>
      </c>
      <c r="K205" s="330"/>
      <c r="L205" s="558"/>
      <c r="M205" s="341"/>
    </row>
    <row r="206" spans="1:13">
      <c r="A206" s="380"/>
      <c r="B206" s="382"/>
      <c r="C206" s="382"/>
      <c r="D206" s="380"/>
      <c r="E206" s="338"/>
      <c r="F206" s="637"/>
      <c r="G206" s="334">
        <f t="shared" si="0"/>
        <v>0</v>
      </c>
      <c r="H206" s="336"/>
      <c r="I206" s="334">
        <f t="shared" si="1"/>
        <v>0</v>
      </c>
      <c r="J206" s="334">
        <f t="shared" si="2"/>
        <v>0</v>
      </c>
      <c r="K206" s="338"/>
      <c r="L206" s="558"/>
      <c r="M206" s="341"/>
    </row>
    <row r="207" spans="1:13">
      <c r="A207" s="380"/>
      <c r="B207" s="382"/>
      <c r="C207" s="382"/>
      <c r="D207" s="380"/>
      <c r="E207" s="338"/>
      <c r="F207" s="502"/>
      <c r="G207" s="598">
        <f t="shared" si="0"/>
        <v>0</v>
      </c>
      <c r="H207" s="599"/>
      <c r="I207" s="598">
        <f t="shared" si="1"/>
        <v>0</v>
      </c>
      <c r="J207" s="598">
        <f t="shared" si="2"/>
        <v>0</v>
      </c>
      <c r="K207" s="330"/>
      <c r="L207" s="558"/>
      <c r="M207" s="341"/>
    </row>
    <row r="208" spans="1:13">
      <c r="A208" s="380"/>
      <c r="B208" s="382"/>
      <c r="C208" s="382"/>
      <c r="D208" s="380"/>
      <c r="E208" s="338"/>
      <c r="F208" s="637"/>
      <c r="G208" s="334">
        <f t="shared" si="0"/>
        <v>0</v>
      </c>
      <c r="H208" s="336"/>
      <c r="I208" s="334">
        <f t="shared" si="1"/>
        <v>0</v>
      </c>
      <c r="J208" s="334">
        <f t="shared" si="2"/>
        <v>0</v>
      </c>
      <c r="K208" s="338"/>
      <c r="L208" s="558"/>
      <c r="M208" s="341"/>
    </row>
    <row r="209" spans="1:13">
      <c r="A209" s="380"/>
      <c r="B209" s="382"/>
      <c r="C209" s="382"/>
      <c r="D209" s="380"/>
      <c r="E209" s="338"/>
      <c r="F209" s="637"/>
      <c r="G209" s="334">
        <f t="shared" si="0"/>
        <v>0</v>
      </c>
      <c r="H209" s="336"/>
      <c r="I209" s="334">
        <f t="shared" si="1"/>
        <v>0</v>
      </c>
      <c r="J209" s="334">
        <f t="shared" si="2"/>
        <v>0</v>
      </c>
      <c r="K209" s="338"/>
      <c r="L209" s="558"/>
      <c r="M209" s="341"/>
    </row>
    <row r="210" spans="1:13">
      <c r="A210" s="380"/>
      <c r="B210" s="382"/>
      <c r="C210" s="382"/>
      <c r="D210" s="380"/>
      <c r="E210" s="338"/>
      <c r="F210" s="637"/>
      <c r="G210" s="334">
        <f t="shared" si="0"/>
        <v>0</v>
      </c>
      <c r="H210" s="336"/>
      <c r="I210" s="334">
        <f t="shared" si="1"/>
        <v>0</v>
      </c>
      <c r="J210" s="334">
        <f t="shared" si="2"/>
        <v>0</v>
      </c>
      <c r="K210" s="338"/>
      <c r="L210" s="558"/>
      <c r="M210" s="341"/>
    </row>
    <row r="211" spans="1:13">
      <c r="A211" s="327"/>
      <c r="B211" s="328"/>
      <c r="C211" s="328"/>
      <c r="D211" s="500"/>
      <c r="E211" s="330"/>
      <c r="F211" s="502"/>
      <c r="G211" s="598">
        <f t="shared" si="0"/>
        <v>0</v>
      </c>
      <c r="H211" s="599"/>
      <c r="I211" s="598">
        <f t="shared" si="1"/>
        <v>0</v>
      </c>
      <c r="J211" s="598">
        <f t="shared" si="2"/>
        <v>0</v>
      </c>
      <c r="K211" s="330"/>
      <c r="L211" s="558"/>
      <c r="M211" s="341"/>
    </row>
    <row r="212" spans="1:13">
      <c r="A212" s="327"/>
      <c r="B212" s="328"/>
      <c r="C212" s="328"/>
      <c r="D212" s="500"/>
      <c r="E212" s="330"/>
      <c r="F212" s="502"/>
      <c r="G212" s="598">
        <f t="shared" si="0"/>
        <v>0</v>
      </c>
      <c r="H212" s="599"/>
      <c r="I212" s="598">
        <f t="shared" si="1"/>
        <v>0</v>
      </c>
      <c r="J212" s="598">
        <f t="shared" si="2"/>
        <v>0</v>
      </c>
      <c r="K212" s="330"/>
      <c r="L212" s="558"/>
      <c r="M212" s="341"/>
    </row>
    <row r="213" spans="1:13">
      <c r="A213" s="327"/>
      <c r="B213" s="328"/>
      <c r="C213" s="328"/>
      <c r="D213" s="500"/>
      <c r="E213" s="330"/>
      <c r="F213" s="502"/>
      <c r="G213" s="598">
        <f t="shared" si="0"/>
        <v>0</v>
      </c>
      <c r="H213" s="599"/>
      <c r="I213" s="598">
        <f t="shared" si="1"/>
        <v>0</v>
      </c>
      <c r="J213" s="598">
        <f t="shared" si="2"/>
        <v>0</v>
      </c>
      <c r="K213" s="330"/>
      <c r="L213" s="558"/>
      <c r="M213" s="341"/>
    </row>
    <row r="214" spans="1:13">
      <c r="A214" s="327"/>
      <c r="B214" s="328"/>
      <c r="C214" s="328"/>
      <c r="D214" s="500"/>
      <c r="E214" s="330"/>
      <c r="F214" s="502"/>
      <c r="G214" s="598">
        <f t="shared" si="0"/>
        <v>0</v>
      </c>
      <c r="H214" s="599"/>
      <c r="I214" s="598">
        <f t="shared" si="1"/>
        <v>0</v>
      </c>
      <c r="J214" s="598">
        <f t="shared" si="2"/>
        <v>0</v>
      </c>
      <c r="K214" s="330"/>
      <c r="L214" s="558"/>
      <c r="M214" s="341"/>
    </row>
    <row r="215" spans="1:13">
      <c r="A215" s="327"/>
      <c r="B215" s="328"/>
      <c r="C215" s="328"/>
      <c r="D215" s="500"/>
      <c r="E215" s="330"/>
      <c r="F215" s="502"/>
      <c r="G215" s="598">
        <f t="shared" si="0"/>
        <v>0</v>
      </c>
      <c r="H215" s="599"/>
      <c r="I215" s="598">
        <f t="shared" si="1"/>
        <v>0</v>
      </c>
      <c r="J215" s="598">
        <f t="shared" si="2"/>
        <v>0</v>
      </c>
      <c r="K215" s="330"/>
      <c r="L215" s="558"/>
      <c r="M215" s="341"/>
    </row>
    <row r="216" spans="1:13">
      <c r="A216" s="327"/>
      <c r="B216" s="328"/>
      <c r="C216" s="328"/>
      <c r="D216" s="500"/>
      <c r="E216" s="330"/>
      <c r="F216" s="502"/>
      <c r="G216" s="598">
        <f t="shared" si="0"/>
        <v>0</v>
      </c>
      <c r="H216" s="599"/>
      <c r="I216" s="598">
        <f t="shared" si="1"/>
        <v>0</v>
      </c>
      <c r="J216" s="598">
        <f t="shared" si="2"/>
        <v>0</v>
      </c>
      <c r="K216" s="330"/>
      <c r="L216" s="558"/>
      <c r="M216" s="341"/>
    </row>
    <row r="217" spans="1:13">
      <c r="A217" s="327"/>
      <c r="B217" s="328"/>
      <c r="C217" s="328"/>
      <c r="D217" s="500"/>
      <c r="E217" s="330"/>
      <c r="F217" s="502"/>
      <c r="G217" s="598">
        <f t="shared" si="0"/>
        <v>0</v>
      </c>
      <c r="H217" s="599"/>
      <c r="I217" s="598">
        <f t="shared" si="1"/>
        <v>0</v>
      </c>
      <c r="J217" s="598">
        <f t="shared" si="2"/>
        <v>0</v>
      </c>
      <c r="K217" s="330"/>
      <c r="L217" s="558"/>
      <c r="M217" s="341"/>
    </row>
    <row r="218" spans="1:13">
      <c r="A218" s="327"/>
      <c r="B218" s="328"/>
      <c r="C218" s="328"/>
      <c r="D218" s="500"/>
      <c r="E218" s="330"/>
      <c r="F218" s="502"/>
      <c r="G218" s="598">
        <f t="shared" si="0"/>
        <v>0</v>
      </c>
      <c r="H218" s="599"/>
      <c r="I218" s="598">
        <f t="shared" si="1"/>
        <v>0</v>
      </c>
      <c r="J218" s="598">
        <f t="shared" si="2"/>
        <v>0</v>
      </c>
      <c r="K218" s="330"/>
      <c r="L218" s="558"/>
      <c r="M218" s="341"/>
    </row>
    <row r="219" spans="1:13">
      <c r="A219" s="327"/>
      <c r="B219" s="328"/>
      <c r="C219" s="328"/>
      <c r="D219" s="500"/>
      <c r="E219" s="330"/>
      <c r="F219" s="502"/>
      <c r="G219" s="598">
        <f t="shared" si="0"/>
        <v>0</v>
      </c>
      <c r="H219" s="599"/>
      <c r="I219" s="598">
        <f t="shared" si="1"/>
        <v>0</v>
      </c>
      <c r="J219" s="598">
        <f t="shared" si="2"/>
        <v>0</v>
      </c>
      <c r="K219" s="330"/>
      <c r="L219" s="558"/>
      <c r="M219" s="341"/>
    </row>
    <row r="220" spans="1:13">
      <c r="A220" s="330"/>
      <c r="B220" s="600"/>
      <c r="C220" s="600"/>
      <c r="D220" s="647"/>
      <c r="E220" s="330"/>
      <c r="F220" s="502"/>
      <c r="G220" s="598">
        <f t="shared" si="0"/>
        <v>0</v>
      </c>
      <c r="H220" s="599"/>
      <c r="I220" s="598">
        <f t="shared" si="1"/>
        <v>0</v>
      </c>
      <c r="J220" s="598">
        <f t="shared" si="2"/>
        <v>0</v>
      </c>
      <c r="K220" s="330"/>
      <c r="L220" s="558"/>
      <c r="M220" s="341"/>
    </row>
    <row r="221" spans="1:13">
      <c r="A221" s="658" t="s">
        <v>176</v>
      </c>
      <c r="B221" s="652"/>
      <c r="C221" s="652"/>
      <c r="D221" s="652"/>
      <c r="E221" s="653"/>
      <c r="F221" s="609">
        <f t="shared" ref="F221:G221" si="3">SUM(F3:F220)</f>
        <v>0</v>
      </c>
      <c r="G221" s="609">
        <f t="shared" si="3"/>
        <v>0</v>
      </c>
      <c r="H221" s="609"/>
      <c r="I221" s="609">
        <f t="shared" ref="I221:J221" si="4">SUM(I3:I220)</f>
        <v>0</v>
      </c>
      <c r="J221" s="609">
        <f t="shared" si="4"/>
        <v>0</v>
      </c>
      <c r="K221" s="616"/>
      <c r="L221" s="648"/>
      <c r="M221" s="618"/>
    </row>
  </sheetData>
  <mergeCells count="2">
    <mergeCell ref="A221:E221"/>
    <mergeCell ref="A1:M1"/>
  </mergeCells>
  <dataValidations count="1">
    <dataValidation type="list" allowBlank="1" sqref="B3:B220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ColWidth="15.140625" defaultRowHeight="15" customHeight="1"/>
  <cols>
    <col min="1" max="1" width="11.7109375" customWidth="1"/>
    <col min="2" max="2" width="9.85546875" customWidth="1"/>
    <col min="3" max="3" width="8.85546875" customWidth="1"/>
    <col min="4" max="4" width="17.140625" customWidth="1"/>
    <col min="5" max="5" width="40.7109375" customWidth="1"/>
    <col min="6" max="6" width="9.5703125" customWidth="1"/>
    <col min="7" max="7" width="49.7109375" customWidth="1"/>
  </cols>
  <sheetData>
    <row r="1" spans="1:7">
      <c r="A1" s="654" t="s">
        <v>916</v>
      </c>
      <c r="B1" s="652"/>
      <c r="C1" s="652"/>
      <c r="D1" s="652"/>
      <c r="E1" s="652"/>
      <c r="F1" s="653"/>
      <c r="G1" s="622"/>
    </row>
    <row r="2" spans="1:7">
      <c r="A2" s="2" t="s">
        <v>3</v>
      </c>
      <c r="B2" s="2" t="s">
        <v>9</v>
      </c>
      <c r="C2" s="2" t="s">
        <v>918</v>
      </c>
      <c r="D2" s="2" t="s">
        <v>919</v>
      </c>
      <c r="E2" s="2" t="s">
        <v>10</v>
      </c>
      <c r="F2" s="623" t="s">
        <v>11</v>
      </c>
      <c r="G2" s="2" t="s">
        <v>16</v>
      </c>
    </row>
    <row r="3" spans="1:7">
      <c r="A3" s="10">
        <v>2052004</v>
      </c>
      <c r="B3" s="10">
        <v>228542010</v>
      </c>
      <c r="C3" s="10">
        <v>2012</v>
      </c>
      <c r="D3" s="10" t="s">
        <v>110</v>
      </c>
      <c r="E3" s="10" t="s">
        <v>921</v>
      </c>
      <c r="F3" s="12">
        <v>44682.879999999997</v>
      </c>
      <c r="G3" s="10" t="s">
        <v>923</v>
      </c>
    </row>
    <row r="4" spans="1:7">
      <c r="A4" s="10"/>
      <c r="B4" s="10">
        <v>91612007</v>
      </c>
      <c r="C4" s="10">
        <v>2007</v>
      </c>
      <c r="D4" s="10" t="s">
        <v>924</v>
      </c>
      <c r="E4" s="10" t="s">
        <v>925</v>
      </c>
      <c r="F4" s="12">
        <v>191013.04</v>
      </c>
      <c r="G4" s="10" t="s">
        <v>926</v>
      </c>
    </row>
    <row r="5" spans="1:7">
      <c r="A5" s="10">
        <v>492002</v>
      </c>
      <c r="B5" s="10">
        <v>279452013</v>
      </c>
      <c r="C5" s="10">
        <v>2014</v>
      </c>
      <c r="D5" s="10" t="s">
        <v>927</v>
      </c>
      <c r="E5" s="10" t="s">
        <v>928</v>
      </c>
      <c r="F5" s="625">
        <v>60375.61</v>
      </c>
      <c r="G5" s="14" t="s">
        <v>929</v>
      </c>
    </row>
    <row r="6" spans="1:7">
      <c r="A6" s="10">
        <v>76752000</v>
      </c>
      <c r="B6" s="10">
        <v>11712003</v>
      </c>
      <c r="C6" s="10">
        <v>2004</v>
      </c>
      <c r="D6" s="10" t="s">
        <v>930</v>
      </c>
      <c r="E6" s="130" t="s">
        <v>931</v>
      </c>
      <c r="F6" s="12">
        <v>69101.97</v>
      </c>
      <c r="G6" s="14" t="s">
        <v>932</v>
      </c>
    </row>
    <row r="7" spans="1:7">
      <c r="A7" s="14">
        <v>322004</v>
      </c>
      <c r="B7" s="14">
        <v>282882013</v>
      </c>
      <c r="C7" s="14">
        <v>2014</v>
      </c>
      <c r="D7" s="14" t="s">
        <v>933</v>
      </c>
      <c r="E7" s="14" t="s">
        <v>934</v>
      </c>
      <c r="F7" s="25">
        <v>197238.22</v>
      </c>
      <c r="G7" s="14" t="s">
        <v>935</v>
      </c>
    </row>
    <row r="8" spans="1:7">
      <c r="A8" s="14">
        <v>114472002</v>
      </c>
      <c r="B8" s="14">
        <v>143412012</v>
      </c>
      <c r="C8" s="14">
        <v>2013</v>
      </c>
      <c r="D8" s="14" t="s">
        <v>936</v>
      </c>
      <c r="E8" s="14" t="s">
        <v>937</v>
      </c>
      <c r="F8" s="25">
        <v>138858.14000000001</v>
      </c>
      <c r="G8" s="14" t="s">
        <v>938</v>
      </c>
    </row>
    <row r="9" spans="1:7">
      <c r="A9" s="14">
        <v>4162008</v>
      </c>
      <c r="B9" s="14">
        <v>902462013</v>
      </c>
      <c r="C9" s="14">
        <v>2014</v>
      </c>
      <c r="D9" s="14" t="s">
        <v>939</v>
      </c>
      <c r="E9" s="14" t="s">
        <v>940</v>
      </c>
      <c r="F9" s="12"/>
      <c r="G9" s="14" t="s">
        <v>941</v>
      </c>
    </row>
    <row r="10" spans="1:7">
      <c r="A10" s="14">
        <v>29662003</v>
      </c>
      <c r="B10" s="14">
        <v>163562011</v>
      </c>
      <c r="C10" s="14">
        <v>2016</v>
      </c>
      <c r="D10" s="14" t="s">
        <v>930</v>
      </c>
      <c r="E10" s="14" t="s">
        <v>942</v>
      </c>
      <c r="F10" s="25">
        <v>8803.42</v>
      </c>
      <c r="G10" s="14" t="s">
        <v>944</v>
      </c>
    </row>
    <row r="11" spans="1:7">
      <c r="A11" s="631">
        <v>2892005</v>
      </c>
      <c r="B11" s="633" t="s">
        <v>945</v>
      </c>
      <c r="C11" s="631" t="s">
        <v>85</v>
      </c>
      <c r="D11" s="631" t="s">
        <v>946</v>
      </c>
      <c r="E11" s="631" t="s">
        <v>947</v>
      </c>
      <c r="F11" s="635"/>
      <c r="G11" s="631" t="s">
        <v>949</v>
      </c>
    </row>
    <row r="12" spans="1:7">
      <c r="A12" s="631">
        <v>2902005</v>
      </c>
      <c r="B12" s="633" t="s">
        <v>945</v>
      </c>
      <c r="C12" s="631" t="s">
        <v>85</v>
      </c>
      <c r="D12" s="631" t="s">
        <v>946</v>
      </c>
      <c r="E12" s="631" t="s">
        <v>950</v>
      </c>
      <c r="F12" s="635"/>
      <c r="G12" s="631" t="s">
        <v>951</v>
      </c>
    </row>
    <row r="13" spans="1:7">
      <c r="A13" s="631">
        <v>2912005</v>
      </c>
      <c r="B13" s="633" t="s">
        <v>945</v>
      </c>
      <c r="C13" s="631" t="s">
        <v>85</v>
      </c>
      <c r="D13" s="631" t="s">
        <v>946</v>
      </c>
      <c r="E13" s="631" t="s">
        <v>952</v>
      </c>
      <c r="F13" s="635"/>
      <c r="G13" s="631" t="s">
        <v>953</v>
      </c>
    </row>
    <row r="14" spans="1:7">
      <c r="A14" s="631">
        <v>2922005</v>
      </c>
      <c r="B14" s="633" t="s">
        <v>945</v>
      </c>
      <c r="C14" s="631" t="s">
        <v>85</v>
      </c>
      <c r="D14" s="631" t="s">
        <v>946</v>
      </c>
      <c r="E14" s="631" t="s">
        <v>954</v>
      </c>
      <c r="F14" s="635"/>
      <c r="G14" s="631" t="s">
        <v>955</v>
      </c>
    </row>
    <row r="15" spans="1:7">
      <c r="A15" s="631">
        <v>2932005</v>
      </c>
      <c r="B15" s="633" t="s">
        <v>945</v>
      </c>
      <c r="C15" s="631" t="s">
        <v>85</v>
      </c>
      <c r="D15" s="631" t="s">
        <v>946</v>
      </c>
      <c r="E15" s="631" t="s">
        <v>957</v>
      </c>
      <c r="F15" s="635"/>
      <c r="G15" s="631" t="s">
        <v>953</v>
      </c>
    </row>
    <row r="16" spans="1:7">
      <c r="A16" s="631">
        <v>2942005</v>
      </c>
      <c r="B16" s="633" t="s">
        <v>945</v>
      </c>
      <c r="C16" s="631" t="s">
        <v>85</v>
      </c>
      <c r="D16" s="631" t="s">
        <v>946</v>
      </c>
      <c r="E16" s="631" t="s">
        <v>958</v>
      </c>
      <c r="F16" s="636">
        <v>27760.54</v>
      </c>
      <c r="G16" s="631" t="s">
        <v>955</v>
      </c>
    </row>
    <row r="17" spans="1:7">
      <c r="A17" s="631">
        <v>2952005</v>
      </c>
      <c r="B17" s="633" t="s">
        <v>945</v>
      </c>
      <c r="C17" s="631" t="s">
        <v>85</v>
      </c>
      <c r="D17" s="631" t="s">
        <v>946</v>
      </c>
      <c r="E17" s="631" t="s">
        <v>959</v>
      </c>
      <c r="F17" s="635"/>
      <c r="G17" s="631" t="s">
        <v>960</v>
      </c>
    </row>
    <row r="18" spans="1:7">
      <c r="A18" s="631">
        <v>2962005</v>
      </c>
      <c r="B18" s="633" t="s">
        <v>945</v>
      </c>
      <c r="C18" s="631" t="s">
        <v>85</v>
      </c>
      <c r="D18" s="631" t="s">
        <v>946</v>
      </c>
      <c r="E18" s="631" t="s">
        <v>961</v>
      </c>
      <c r="F18" s="635"/>
      <c r="G18" s="631" t="s">
        <v>938</v>
      </c>
    </row>
    <row r="19" spans="1:7">
      <c r="A19" s="631">
        <v>2972005</v>
      </c>
      <c r="B19" s="633" t="s">
        <v>945</v>
      </c>
      <c r="C19" s="631" t="s">
        <v>85</v>
      </c>
      <c r="D19" s="631" t="s">
        <v>946</v>
      </c>
      <c r="E19" s="631" t="s">
        <v>963</v>
      </c>
      <c r="F19" s="635"/>
      <c r="G19" s="631" t="s">
        <v>953</v>
      </c>
    </row>
    <row r="20" spans="1:7">
      <c r="A20" s="631">
        <v>2982005</v>
      </c>
      <c r="B20" s="633" t="s">
        <v>945</v>
      </c>
      <c r="C20" s="631" t="s">
        <v>85</v>
      </c>
      <c r="D20" s="631" t="s">
        <v>946</v>
      </c>
      <c r="E20" s="631" t="s">
        <v>964</v>
      </c>
      <c r="F20" s="635"/>
      <c r="G20" s="631" t="s">
        <v>955</v>
      </c>
    </row>
    <row r="21" spans="1:7">
      <c r="A21" s="631">
        <v>2992005</v>
      </c>
      <c r="B21" s="633" t="s">
        <v>945</v>
      </c>
      <c r="C21" s="631" t="s">
        <v>85</v>
      </c>
      <c r="D21" s="631" t="s">
        <v>946</v>
      </c>
      <c r="E21" s="631" t="s">
        <v>965</v>
      </c>
      <c r="F21" s="635"/>
      <c r="G21" s="631" t="s">
        <v>938</v>
      </c>
    </row>
    <row r="22" spans="1:7">
      <c r="A22" s="631">
        <v>202006</v>
      </c>
      <c r="B22" s="633" t="s">
        <v>945</v>
      </c>
      <c r="C22" s="631" t="s">
        <v>85</v>
      </c>
      <c r="D22" s="631" t="s">
        <v>946</v>
      </c>
      <c r="E22" s="631" t="s">
        <v>966</v>
      </c>
      <c r="F22" s="636">
        <v>500</v>
      </c>
      <c r="G22" s="631" t="s">
        <v>967</v>
      </c>
    </row>
    <row r="23" spans="1:7">
      <c r="A23" s="631">
        <v>1112005</v>
      </c>
      <c r="B23" s="633" t="s">
        <v>945</v>
      </c>
      <c r="C23" s="631" t="s">
        <v>85</v>
      </c>
      <c r="D23" s="631" t="s">
        <v>968</v>
      </c>
      <c r="E23" s="631" t="s">
        <v>969</v>
      </c>
      <c r="F23" s="636">
        <v>29670.57</v>
      </c>
      <c r="G23" s="631" t="s">
        <v>955</v>
      </c>
    </row>
    <row r="24" spans="1:7">
      <c r="A24" s="631">
        <v>1092005</v>
      </c>
      <c r="B24" s="633" t="s">
        <v>945</v>
      </c>
      <c r="C24" s="631" t="s">
        <v>85</v>
      </c>
      <c r="D24" s="631" t="s">
        <v>968</v>
      </c>
      <c r="E24" s="631" t="s">
        <v>971</v>
      </c>
      <c r="F24" s="636">
        <v>23182.98</v>
      </c>
      <c r="G24" s="10"/>
    </row>
    <row r="25" spans="1:7">
      <c r="A25" s="631">
        <v>822005</v>
      </c>
      <c r="B25" s="633" t="s">
        <v>945</v>
      </c>
      <c r="C25" s="631" t="s">
        <v>85</v>
      </c>
      <c r="D25" s="631" t="s">
        <v>968</v>
      </c>
      <c r="E25" s="631" t="s">
        <v>972</v>
      </c>
      <c r="F25" s="636">
        <v>20285.2</v>
      </c>
      <c r="G25" s="10"/>
    </row>
    <row r="26" spans="1:7">
      <c r="A26" s="631">
        <v>1102005</v>
      </c>
      <c r="B26" s="633" t="s">
        <v>945</v>
      </c>
      <c r="C26" s="631" t="s">
        <v>85</v>
      </c>
      <c r="D26" s="631" t="s">
        <v>968</v>
      </c>
      <c r="E26" s="631" t="s">
        <v>974</v>
      </c>
      <c r="F26" s="636">
        <v>10666</v>
      </c>
      <c r="G26" s="631"/>
    </row>
    <row r="27" spans="1:7">
      <c r="A27" s="631">
        <v>1082005</v>
      </c>
      <c r="B27" s="633" t="s">
        <v>945</v>
      </c>
      <c r="C27" s="631" t="s">
        <v>85</v>
      </c>
      <c r="D27" s="631" t="s">
        <v>968</v>
      </c>
      <c r="E27" s="631" t="s">
        <v>975</v>
      </c>
      <c r="F27" s="636">
        <v>9406.6200000000008</v>
      </c>
      <c r="G27" s="10"/>
    </row>
    <row r="28" spans="1:7">
      <c r="A28" s="631">
        <v>1072005</v>
      </c>
      <c r="B28" s="633" t="s">
        <v>945</v>
      </c>
      <c r="C28" s="631" t="s">
        <v>85</v>
      </c>
      <c r="D28" s="631" t="s">
        <v>968</v>
      </c>
      <c r="E28" s="631" t="s">
        <v>976</v>
      </c>
      <c r="F28" s="636">
        <v>23182.98</v>
      </c>
      <c r="G28" s="10"/>
    </row>
    <row r="29" spans="1:7">
      <c r="A29" s="14"/>
      <c r="B29" s="10"/>
      <c r="C29" s="10"/>
      <c r="D29" s="14"/>
      <c r="E29" s="10"/>
      <c r="F29" s="12"/>
      <c r="G29" s="10"/>
    </row>
    <row r="30" spans="1:7">
      <c r="A30" s="10"/>
      <c r="B30" s="10"/>
      <c r="C30" s="10"/>
      <c r="D30" s="10"/>
      <c r="E30" s="10"/>
      <c r="F30" s="12"/>
      <c r="G30" s="10"/>
    </row>
    <row r="31" spans="1:7">
      <c r="A31" s="10"/>
      <c r="B31" s="10"/>
      <c r="C31" s="10"/>
      <c r="D31" s="10"/>
      <c r="E31" s="10"/>
      <c r="F31" s="12"/>
      <c r="G31" s="10"/>
    </row>
    <row r="32" spans="1:7">
      <c r="A32" s="10"/>
      <c r="B32" s="10"/>
      <c r="C32" s="10"/>
      <c r="D32" s="10"/>
      <c r="E32" s="10"/>
      <c r="F32" s="12"/>
      <c r="G32" s="10"/>
    </row>
    <row r="33" spans="1:7">
      <c r="A33" s="10"/>
      <c r="B33" s="10"/>
      <c r="C33" s="10"/>
      <c r="D33" s="10"/>
      <c r="E33" s="10"/>
      <c r="F33" s="12"/>
      <c r="G33" s="10"/>
    </row>
    <row r="34" spans="1:7">
      <c r="A34" s="10"/>
      <c r="B34" s="10"/>
      <c r="C34" s="10"/>
      <c r="D34" s="10"/>
      <c r="E34" s="10"/>
      <c r="F34" s="12"/>
      <c r="G34" s="10"/>
    </row>
    <row r="35" spans="1:7">
      <c r="A35" s="10"/>
      <c r="B35" s="10"/>
      <c r="C35" s="10"/>
      <c r="D35" s="10"/>
      <c r="E35" s="10"/>
      <c r="F35" s="12"/>
      <c r="G35" s="10"/>
    </row>
    <row r="36" spans="1:7">
      <c r="A36" s="10"/>
      <c r="B36" s="10"/>
      <c r="C36" s="10"/>
      <c r="D36" s="10"/>
      <c r="E36" s="10"/>
      <c r="F36" s="12"/>
      <c r="G36" s="10"/>
    </row>
    <row r="37" spans="1:7">
      <c r="A37" s="10"/>
      <c r="B37" s="10"/>
      <c r="C37" s="10"/>
      <c r="D37" s="10"/>
      <c r="E37" s="10"/>
      <c r="F37" s="12"/>
      <c r="G37" s="10"/>
    </row>
    <row r="38" spans="1:7">
      <c r="A38" s="10"/>
      <c r="B38" s="10"/>
      <c r="C38" s="10"/>
      <c r="D38" s="10"/>
      <c r="E38" s="10"/>
      <c r="F38" s="12"/>
      <c r="G38" s="10"/>
    </row>
    <row r="39" spans="1:7">
      <c r="A39" s="10"/>
      <c r="B39" s="10"/>
      <c r="C39" s="10"/>
      <c r="D39" s="10"/>
      <c r="E39" s="10"/>
      <c r="F39" s="12"/>
      <c r="G39" s="10"/>
    </row>
    <row r="40" spans="1:7">
      <c r="A40" s="10"/>
      <c r="B40" s="10"/>
      <c r="C40" s="10"/>
      <c r="D40" s="10"/>
      <c r="E40" s="10"/>
      <c r="F40" s="12"/>
      <c r="G40" s="10"/>
    </row>
    <row r="41" spans="1:7">
      <c r="A41" s="10"/>
      <c r="B41" s="10"/>
      <c r="C41" s="10"/>
      <c r="D41" s="10"/>
      <c r="E41" s="10"/>
      <c r="F41" s="12"/>
      <c r="G41" s="10"/>
    </row>
    <row r="42" spans="1:7">
      <c r="A42" s="10"/>
      <c r="B42" s="10"/>
      <c r="C42" s="10"/>
      <c r="D42" s="10"/>
      <c r="E42" s="10"/>
      <c r="F42" s="12"/>
      <c r="G42" s="10"/>
    </row>
    <row r="43" spans="1:7">
      <c r="A43" s="10"/>
      <c r="B43" s="10"/>
      <c r="C43" s="10"/>
      <c r="D43" s="10"/>
      <c r="E43" s="10"/>
      <c r="F43" s="12"/>
      <c r="G43" s="10"/>
    </row>
    <row r="44" spans="1:7">
      <c r="A44" s="10"/>
      <c r="B44" s="10"/>
      <c r="C44" s="10"/>
      <c r="D44" s="10"/>
      <c r="E44" s="10"/>
      <c r="F44" s="12"/>
      <c r="G44" s="10"/>
    </row>
    <row r="45" spans="1:7">
      <c r="A45" s="10"/>
      <c r="B45" s="10"/>
      <c r="C45" s="10"/>
      <c r="D45" s="10"/>
      <c r="E45" s="10"/>
      <c r="F45" s="12"/>
      <c r="G45" s="10"/>
    </row>
    <row r="46" spans="1:7">
      <c r="A46" s="10"/>
      <c r="B46" s="10"/>
      <c r="C46" s="10"/>
      <c r="D46" s="10"/>
      <c r="E46" s="10"/>
      <c r="F46" s="12"/>
      <c r="G46" s="10"/>
    </row>
    <row r="47" spans="1:7">
      <c r="A47" s="10"/>
      <c r="B47" s="10"/>
      <c r="C47" s="10"/>
      <c r="D47" s="10"/>
      <c r="E47" s="10"/>
      <c r="F47" s="12"/>
      <c r="G47" s="10"/>
    </row>
    <row r="48" spans="1:7">
      <c r="A48" s="10"/>
      <c r="B48" s="10"/>
      <c r="C48" s="10"/>
      <c r="D48" s="10"/>
      <c r="E48" s="10"/>
      <c r="F48" s="12"/>
      <c r="G48" s="10"/>
    </row>
    <row r="49" spans="1:7">
      <c r="A49" s="10"/>
      <c r="B49" s="10"/>
      <c r="C49" s="10"/>
      <c r="D49" s="10"/>
      <c r="E49" s="10"/>
      <c r="F49" s="12"/>
      <c r="G49" s="10"/>
    </row>
    <row r="50" spans="1:7">
      <c r="A50" s="10"/>
      <c r="B50" s="10"/>
      <c r="C50" s="10"/>
      <c r="D50" s="10"/>
      <c r="E50" s="10"/>
      <c r="F50" s="12"/>
      <c r="G50" s="10"/>
    </row>
    <row r="51" spans="1:7">
      <c r="A51" s="651" t="s">
        <v>176</v>
      </c>
      <c r="B51" s="652"/>
      <c r="C51" s="652"/>
      <c r="D51" s="652"/>
      <c r="E51" s="653"/>
      <c r="F51" s="128">
        <f>SUM(F3:F50)</f>
        <v>854728.16999999993</v>
      </c>
      <c r="G51" s="639"/>
    </row>
  </sheetData>
  <autoFilter ref="A2:G2"/>
  <mergeCells count="2">
    <mergeCell ref="A1:F1"/>
    <mergeCell ref="A51:E5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FORMAR PREC</vt:lpstr>
      <vt:lpstr>2012</vt:lpstr>
      <vt:lpstr>2013</vt:lpstr>
      <vt:lpstr>2014</vt:lpstr>
      <vt:lpstr>2015</vt:lpstr>
      <vt:lpstr>2016</vt:lpstr>
      <vt:lpstr>2017</vt:lpstr>
      <vt:lpstr>2018</vt:lpstr>
      <vt:lpstr>OUTROS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Henrique</cp:lastModifiedBy>
  <dcterms:modified xsi:type="dcterms:W3CDTF">2017-05-06T18:29:16Z</dcterms:modified>
</cp:coreProperties>
</file>